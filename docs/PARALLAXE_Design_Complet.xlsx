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c90631905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d860a8f3c5fd43ab"/>
    <x:sheet xmlns:r="http://schemas.openxmlformats.org/officeDocument/2006/relationships" name="Boucle" sheetId="2" r:id="R473a0ffd5eff42af"/>
    <x:sheet xmlns:r="http://schemas.openxmlformats.org/officeDocument/2006/relationships" name="Anomalies" sheetId="3" r:id="R3095c15dee364e1e"/>
    <x:sheet xmlns:r="http://schemas.openxmlformats.org/officeDocument/2006/relationships" name="Coopération" sheetId="4" r:id="R2332f36235c94e02"/>
    <x:sheet xmlns:r="http://schemas.openxmlformats.org/officeDocument/2006/relationships" name="Radio" sheetId="5" r:id="Rc308d49f9a9a4280"/>
    <x:sheet xmlns:r="http://schemas.openxmlformats.org/officeDocument/2006/relationships" name="Personnages" sheetId="6" r:id="Re871745b31d14919"/>
    <x:sheet xmlns:r="http://schemas.openxmlformats.org/officeDocument/2006/relationships" name="Niveaux" sheetId="7" r:id="R9413597ed0de4b86"/>
    <x:sheet xmlns:r="http://schemas.openxmlformats.org/officeDocument/2006/relationships" name="Lieux" sheetId="8" r:id="R29bca919142a44ad"/>
    <x:sheet xmlns:r="http://schemas.openxmlformats.org/officeDocument/2006/relationships" name="Direction artistique" sheetId="9" r:id="R658864451f604223"/>
    <x:sheet xmlns:r="http://schemas.openxmlformats.org/officeDocument/2006/relationships" name="Audio" sheetId="10" r:id="R18e419a2df38430c"/>
    <x:sheet xmlns:r="http://schemas.openxmlformats.org/officeDocument/2006/relationships" name="Commandes" sheetId="11" r:id="Rdc22a7b299c64b73"/>
    <x:sheet xmlns:r="http://schemas.openxmlformats.org/officeDocument/2006/relationships" name="Narration" sheetId="12" r:id="R4300c79667974324"/>
    <x:sheet xmlns:r="http://schemas.openxmlformats.org/officeDocument/2006/relationships" name="Production" sheetId="13" r:id="R64f150af41194520"/>
    <x:sheet xmlns:r="http://schemas.openxmlformats.org/officeDocument/2006/relationships" name="QA" sheetId="14" r:id="R4850e4e2055445f8"/>
    <x:sheet xmlns:r="http://schemas.openxmlformats.org/officeDocument/2006/relationships" name="Références" sheetId="15" r:id="Red9d6b2d8fac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dd/mm/yyyy"/>
    <x:numFmt numFmtId="202" formatCode="#,##0"/>
    <x:numFmt numFmtId="203" formatCode="0.0%"/>
    <x:numFmt numFmtId="204" formatCode="0%"/>
  </x:numFmts>
  <x:fonts count="10">
    <x:font>
      <x:sz val="11"/>
      <x:name val="Carlito"/>
    </x:font>
    <x:font>
      <x:sz val="10"/>
      <x:color rgb="FF162733"/>
      <x:name val="Arial"/>
    </x:font>
    <x:font>
      <x:b/>
      <x:sz val="16"/>
      <x:color rgb="FF173A4B"/>
      <x:name val="Arial"/>
    </x:font>
    <x:font>
      <x:i/>
      <x:sz val="10"/>
      <x:color rgb="FF53616B"/>
      <x:name val="Arial"/>
    </x:font>
    <x:font>
      <x:b/>
      <x:sz val="10"/>
      <x:color rgb="FFFFFFFF"/>
      <x:name val="Arial"/>
    </x:font>
    <x:font>
      <x:sz val="10"/>
      <x:color rgb="FF225F8E"/>
      <x:name val="Arial"/>
    </x:font>
    <x:font>
      <x:b/>
      <x:sz val="14"/>
      <x:color rgb="FF173A4B"/>
      <x:name val="Arial"/>
    </x:font>
    <x:font>
      <x:b/>
      <x:sz val="12"/>
      <x:color rgb="FF173A4B"/>
      <x:name val="Arial"/>
    </x:font>
    <x:font>
      <x:sz val="10"/>
      <x:color rgb="FF53616B"/>
      <x:name val="Arial"/>
    </x:font>
    <x:font>
      <x:i/>
      <x:sz val="9"/>
      <x:color rgb="FF53616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A4B"/>
      </x:patternFill>
    </x:fill>
    <x:fill>
      <x:patternFill patternType="solid">
        <x:fgColor rgb="FFF3F6F7"/>
      </x:patternFill>
    </x:fill>
    <x:fill>
      <x:patternFill patternType="solid">
        <x:fgColor rgb="FFFFF2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19B56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2" fontId="7" fillId="2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9"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7af65d97e4fe5" /><Relationship Type="http://schemas.openxmlformats.org/officeDocument/2006/relationships/theme" Target="/xl/theme/theme1.xml" Id="Re1f46cb303a14775" /><Relationship Type="http://schemas.openxmlformats.org/officeDocument/2006/relationships/sharedStrings" Target="/xl/sharedStrings.xml" Id="R692bf69fce97453b" /><Relationship Type="http://schemas.openxmlformats.org/officeDocument/2006/relationships/worksheet" Target="/xl/worksheets/sheet1.xml" Id="Rd860a8f3c5fd43ab" /><Relationship Type="http://schemas.openxmlformats.org/officeDocument/2006/relationships/worksheet" Target="/xl/worksheets/sheet2.xml" Id="R473a0ffd5eff42af" /><Relationship Type="http://schemas.openxmlformats.org/officeDocument/2006/relationships/worksheet" Target="/xl/worksheets/sheet3.xml" Id="R3095c15dee364e1e" /><Relationship Type="http://schemas.openxmlformats.org/officeDocument/2006/relationships/worksheet" Target="/xl/worksheets/sheet4.xml" Id="R2332f36235c94e02" /><Relationship Type="http://schemas.openxmlformats.org/officeDocument/2006/relationships/worksheet" Target="/xl/worksheets/sheet5.xml" Id="Rc308d49f9a9a4280" /><Relationship Type="http://schemas.openxmlformats.org/officeDocument/2006/relationships/worksheet" Target="/xl/worksheets/sheet6.xml" Id="Re871745b31d14919" /><Relationship Type="http://schemas.openxmlformats.org/officeDocument/2006/relationships/worksheet" Target="/xl/worksheets/sheet7.xml" Id="R9413597ed0de4b86" /><Relationship Type="http://schemas.openxmlformats.org/officeDocument/2006/relationships/worksheet" Target="/xl/worksheets/sheet8.xml" Id="R29bca919142a44ad" /><Relationship Type="http://schemas.openxmlformats.org/officeDocument/2006/relationships/worksheet" Target="/xl/worksheets/sheet9.xml" Id="R658864451f604223" /><Relationship Type="http://schemas.openxmlformats.org/officeDocument/2006/relationships/worksheet" Target="/xl/worksheets/sheet10.xml" Id="R18e419a2df38430c" /><Relationship Type="http://schemas.openxmlformats.org/officeDocument/2006/relationships/worksheet" Target="/xl/worksheets/sheet11.xml" Id="Rdc22a7b299c64b73" /><Relationship Type="http://schemas.openxmlformats.org/officeDocument/2006/relationships/worksheet" Target="/xl/worksheets/sheet12.xml" Id="R4300c79667974324" /><Relationship Type="http://schemas.openxmlformats.org/officeDocument/2006/relationships/worksheet" Target="/xl/worksheets/sheet13.xml" Id="R64f150af41194520" /><Relationship Type="http://schemas.openxmlformats.org/officeDocument/2006/relationships/worksheet" Target="/xl/worksheets/sheet14.xml" Id="R4850e4e2055445f8" /><Relationship Type="http://schemas.openxmlformats.org/officeDocument/2006/relationships/worksheet" Target="/xl/worksheets/sheet15.xml" Id="Red9d6b2d8fac4aa9" /></Relationships>
</file>

<file path=xl/tables/table1.xml><?xml version="1.0" encoding="utf-8"?>
<x:table xmlns:x="http://schemas.openxmlformats.org/spreadsheetml/2006/main" id="2" name="P9_Boucle" displayName="P9_Boucle" ref="A5:G32" headerRowCount="1" totalsRowCount="0" totalsRowShown="0">
  <x:autoFilter ref="A5:G32"/>
  <x:tableColumns count="7">
    <x:tableColumn id="1" name="ID"/>
    <x:tableColumn id="2" name="Étape / règle"/>
    <x:tableColumn id="3" name="Action ou condition"/>
    <x:tableColumn id="4" name="Déclencheur"/>
    <x:tableColumn id="5" name="Résultat"/>
    <x:tableColumn id="6" name="Portée"/>
    <x:tableColumn id="7" name="Pré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9_Anomalies" displayName="P9_Anomalies" ref="A5:V125" headerRowCount="1" totalsRowCount="0" totalsRowShown="0">
  <x:autoFilter ref="A5:V125"/>
  <x:tableColumns count="22">
    <x:tableColumn id="1" name="ID"/>
    <x:tableColumn id="2" name="Anomalie"/>
    <x:tableColumn id="3" name="Famille"/>
    <x:tableColumn id="4" name="Code actuel"/>
    <x:tableColumn id="5" name="Statut"/>
    <x:tableColumn id="6" name="Peur (1–5)"/>
    <x:tableColumn id="7" name="Lieu / repère"/>
    <x:tableColumn id="8" name="Référence normale"/>
    <x:tableColumn id="9" name="Perception A"/>
    <x:tableColumn id="10" name="Perception B"/>
    <x:tableColumn id="11" name="Comparaison à communiquer"/>
    <x:tableColumn id="12" name="Déclenchement / mise en scène"/>
    <x:tableColumn id="13" name="Preuve et décision"/>
    <x:tableColumn id="14" name="Équité et accessibilité"/>
    <x:tableColumn id="15" name="Assets et animation prévus"/>
    <x:tableColumn id="16" name="Identifiant moteur"/>
    <x:tableColumn id="17" name="Difficulté (1–3)"/>
    <x:tableColumn id="18" name="Validation et limites"/>
    <x:tableColumn id="19" name="Saint-Clair (code)"/>
    <x:tableColumn id="20" name="Terminus 09 (code)"/>
    <x:tableColumn id="21" name="Aile blanche (code)"/>
    <x:tableColumn id="22" name="Canal de preu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9_Cooperation" displayName="P9_Cooperation" ref="A5:G30" headerRowCount="1" totalsRowCount="0" totalsRowShown="0">
  <x:autoFilter ref="A5:G30"/>
  <x:tableColumns count="7">
    <x:tableColumn id="1" name="ID"/>
    <x:tableColumn id="2" name="Système"/>
    <x:tableColumn id="3" name="Fonctionnement"/>
    <x:tableColumn id="4" name="Données"/>
    <x:tableColumn id="5" name="Portée"/>
    <x:tableColumn id="6" name="Critère de réception"/>
    <x:tableColumn id="7" name="Précaution technique ou de je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9_Radio" displayName="P9_Radio" ref="A5:H35" headerRowCount="1" totalsRowCount="0" totalsRowShown="0">
  <x:autoFilter ref="A5:H35"/>
  <x:tableColumns count="8">
    <x:tableColumn id="1" name="ID"/>
    <x:tableColumn id="2" name="Système / preuve"/>
    <x:tableColumn id="3" name="Comportement attendu"/>
    <x:tableColumn id="4" name="Référence ou comparaison"/>
    <x:tableColumn id="5" name="Statut"/>
    <x:tableColumn id="6" name="Accès / réglage"/>
    <x:tableColumn id="7" name="Condition de réception"/>
    <x:tableColumn id="8" name="Limite / garde-fo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9_Personnages" displayName="P9_Personnages" ref="A5:H26" headerRowCount="1" totalsRowCount="0" totalsRowShown="0">
  <x:autoFilter ref="A5:H26"/>
  <x:tableColumns count="8">
    <x:tableColumn id="1" name="ID"/>
    <x:tableColumn id="2" name="Système / asset"/>
    <x:tableColumn id="3" name="Baseline ou traitement"/>
    <x:tableColumn id="4" name="Variation / usage"/>
    <x:tableColumn id="5" name="Statut"/>
    <x:tableColumn id="6" name="Critère de réception"/>
    <x:tableColumn id="7" name="Pipeline / contraintes"/>
    <x:tableColumn id="8" name="Validation resta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9_Niveaux" displayName="P9_Niveaux" ref="A5:J8" headerRowCount="1" totalsRowCount="0" totalsRowShown="0">
  <x:autoFilter ref="A5:J8"/>
  <x:tableColumns count="10">
    <x:tableColumn id="1" name="Ordre"/>
    <x:tableColumn id="2" name="Lieu officiel"/>
    <x:tableColumn id="3" name="Sous-titre"/>
    <x:tableColumn id="4" name="Progression"/>
    <x:tableColumn id="5" name="Baseline à apprendre"/>
    <x:tableColumn id="6" name="Objets et preuves propres"/>
    <x:tableColumn id="7" name="Anomalies en code"/>
    <x:tableColumn id="8" name="Statut"/>
    <x:tableColumn id="9" name="Parcours / conception"/>
    <x:tableColumn id="10" name="Recette resta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9_Lieux" displayName="P9_Lieux" ref="A5:H26" headerRowCount="1" totalsRowCount="0" totalsRowShown="0">
  <x:autoFilter ref="A5:H26"/>
  <x:tableColumns count="8">
    <x:tableColumn id="1" name="ID"/>
    <x:tableColumn id="2" name="Lieu"/>
    <x:tableColumn id="3" name="Zone"/>
    <x:tableColumn id="4" name="Organisation"/>
    <x:tableColumn id="5" name="Repères à mémoriser"/>
    <x:tableColumn id="6" name="Anomalies / usage"/>
    <x:tableColumn id="7" name="Statut"/>
    <x:tableColumn id="8" name="Consigne de level desig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9_Directionartistique" displayName="P9_Directionartistique" ref="A5:G39" headerRowCount="1" totalsRowCount="0" totalsRowShown="0">
  <x:autoFilter ref="A5:G39"/>
  <x:tableColumns count="7">
    <x:tableColumn id="1" name="ID"/>
    <x:tableColumn id="2" name="Élément"/>
    <x:tableColumn id="3" name="Traitement"/>
    <x:tableColumn id="4" name="Contraintes"/>
    <x:tableColumn id="5" name="Statut"/>
    <x:tableColumn id="6" name="Critère visuel / performance"/>
    <x:tableColumn id="7" name="Limite ou étape suivan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9_Audio" displayName="P9_Audio" ref="A5:G22" headerRowCount="1" totalsRowCount="0" totalsRowShown="0">
  <x:autoFilter ref="A5:G22"/>
  <x:tableColumns count="7">
    <x:tableColumn id="1" name="ID"/>
    <x:tableColumn id="2" name="Usage"/>
    <x:tableColumn id="3" name="Traitement"/>
    <x:tableColumn id="4" name="Origine / système"/>
    <x:tableColumn id="5" name="Statut"/>
    <x:tableColumn id="6" name="Accessibilité"/>
    <x:tableColumn id="7" name="Règle de mixage ou de jeu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9_Commandes" displayName="P9_Commandes" ref="A5:G29" headerRowCount="1" totalsRowCount="0" totalsRowShown="0">
  <x:autoFilter ref="A5:G29"/>
  <x:tableColumns count="7">
    <x:tableColumn id="1" name="ID"/>
    <x:tableColumn id="2" name="Action"/>
    <x:tableColumn id="3" name="Support"/>
    <x:tableColumn id="4" name="Commande"/>
    <x:tableColumn id="5" name="Statut"/>
    <x:tableColumn id="6" name="Résultat attendu"/>
    <x:tableColumn id="7" name="Critère de confor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9_Narration" displayName="P9_Narration" ref="A5:G23" headerRowCount="1" totalsRowCount="0" totalsRowShown="0">
  <x:autoFilter ref="A5:G23"/>
  <x:tableColumns count="7">
    <x:tableColumn id="1" name="ID"/>
    <x:tableColumn id="2" name="Élément"/>
    <x:tableColumn id="3" name="Contenu"/>
    <x:tableColumn id="4" name="Sens pour le joueur"/>
    <x:tableColumn id="5" name="Support"/>
    <x:tableColumn id="6" name="Statut"/>
    <x:tableColumn id="7" name="Consigne d’écri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9_Production" displayName="P9_Production" ref="A5:H61" headerRowCount="1" totalsRowCount="0" totalsRowShown="0">
  <x:autoFilter ref="A5:H61"/>
  <x:tableColumns count="8">
    <x:tableColumn id="1" name="ID"/>
    <x:tableColumn id="2" name="Priorité"/>
    <x:tableColumn id="3" name="Lot"/>
    <x:tableColumn id="4" name="Travail"/>
    <x:tableColumn id="5" name="Statut"/>
    <x:tableColumn id="6" name="Discipline"/>
    <x:tableColumn id="7" name="Dépendance"/>
    <x:tableColumn id="8" name="Condition de clôtur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9_QA" displayName="P9_QA" ref="A5:H86" headerRowCount="1" totalsRowCount="0" totalsRowShown="0">
  <x:autoFilter ref="A5:H86"/>
  <x:tableColumns count="8">
    <x:tableColumn id="1" name="ID"/>
    <x:tableColumn id="2" name="Priorité"/>
    <x:tableColumn id="3" name="Parcours"/>
    <x:tableColumn id="4" name="Action de test"/>
    <x:tableColumn id="5" name="Résultat attendu"/>
    <x:tableColumn id="6" name="Résultat actuel"/>
    <x:tableColumn id="7" name="Couverture"/>
    <x:tableColumn id="8" name="Preuve / précis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9_References" displayName="P9_References" ref="A5:G34" headerRowCount="1" totalsRowCount="0" totalsRowShown="0">
  <x:autoFilter ref="A5:G34"/>
  <x:tableColumns count="7">
    <x:tableColumn id="1" name="ID"/>
    <x:tableColumn id="2" name="Type"/>
    <x:tableColumn id="3" name="Référence / terme"/>
    <x:tableColumn id="4" name="Apport / définition"/>
    <x:tableColumn id="5" name="Lien / origine"/>
    <x:tableColumn id="6" name="Consultation"/>
    <x:tableColumn id="7" name="Portée et li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c3b554c7314a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06891e25be4b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5883761b6a46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358a9cbaef4e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0cdd15c51242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7ae2a3476c4b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24c44b8c9c40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08f5982fa142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69eebedf0b44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0b77c14b7242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d05a49a6e2943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cd1f55f1351470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5e62a490fb44b8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f1c5233b67e42d4" /></Relationships>
</file>

<file path=xl/worksheets/sheet1.xml><?xml version="1.0" encoding="utf-8"?>
<x:worksheet xmlns:x="http://schemas.openxmlformats.org/spreadsheetml/2006/main">
  <x:sheetPr>
    <x:tabColor rgb="FF173A4B"/>
  </x:sheetPr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4" hidden="0" customWidth="1"/>
    <x:col min="4" max="4" width="39" hidden="0" customWidth="1"/>
    <x:col min="5" max="5" width="24" hidden="0" customWidth="1"/>
    <x:col min="6" max="6" width="4" hidden="0" customWidth="1"/>
    <x:col min="7" max="7" width="24" hidden="0" customWidth="1"/>
    <x:col min="8" max="8" width="2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PARALLAXE — Protocole 9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Conception et suivi · édition 0.2.1 · 26 octobre 2026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28" customHeight="1">
      <x:c r="A6" s="8" t="str">
        <x:v>Catalogue</x:v>
      </x:c>
      <x:c r="B6" s="8" t="str">
        <x:v>Nombre</x:v>
      </x:c>
      <x:c r="C6" s="3"/>
      <x:c r="D6" s="8" t="str">
        <x:v>Production</x:v>
      </x:c>
      <x:c r="E6" s="8" t="str">
        <x:v>Nombre</x:v>
      </x:c>
      <x:c r="F6" s="3"/>
      <x:c r="G6" s="3"/>
      <x:c r="H6" s="3"/>
    </x:row>
    <x:row r="7" ht="27" customHeight="1">
      <x:c r="A7" s="3" t="str">
        <x:v>Anomalies conçues</x:v>
      </x:c>
      <x:c r="B7" s="32" t="n">
        <x:f>COUNTA('Anomalies'!$A$6:$A$125)</x:f>
        <x:v>120</x:v>
      </x:c>
      <x:c r="C7" s="3"/>
      <x:c r="D7" s="3" t="str">
        <x:v>Lots de production</x:v>
      </x:c>
      <x:c r="E7" s="34" t="n">
        <x:f>COUNTA('Production'!$A$6:$A$61)</x:f>
        <x:v>56</x:v>
      </x:c>
      <x:c r="F7" s="3"/>
      <x:c r="G7" s="3"/>
      <x:c r="H7" s="3"/>
    </x:row>
    <x:row r="8" ht="27" customHeight="1">
      <x:c r="A8" s="3" t="str">
        <x:v>Présentes dans le code</x:v>
      </x:c>
      <x:c r="B8" s="32" t="n">
        <x:f>COUNTIFS('Anomalies'!$D$6:$D$125,"Présent")</x:f>
        <x:v>54</x:v>
      </x:c>
      <x:c r="C8" s="3"/>
      <x:c r="D8" s="3" t="str">
        <x:v>Lots en code ou présents</x:v>
      </x:c>
      <x:c r="E8" s="34" t="n">
        <x:f>COUNTIFS('Production'!$E$6:$E$61,"Présent")+COUNTIFS('Production'!$E$6:$E$61,"Implémenté — QA partielle")</x:f>
        <x:v>29</x:v>
      </x:c>
      <x:c r="F8" s="3"/>
      <x:c r="G8" s="3"/>
      <x:c r="H8" s="3"/>
    </x:row>
    <x:row r="9" ht="27" customHeight="1">
      <x:c r="A9" s="3" t="str">
        <x:v>Prévues, non implémentées</x:v>
      </x:c>
      <x:c r="B9" s="32" t="n">
        <x:f>COUNTIFS('Anomalies'!$E$6:$E$125,"Conçu — non implémenté")</x:f>
        <x:v>66</x:v>
      </x:c>
      <x:c r="C9" s="3"/>
      <x:c r="D9" s="3" t="str">
        <x:v>Lots à vérifier / éprouver</x:v>
      </x:c>
      <x:c r="E9" s="34" t="n">
        <x:f>COUNTIFS('Production'!$E$6:$E$61,"À vérifier")+COUNTIFS('Production'!$E$6:$E$61,"À exécuter")+COUNTIFS('Production'!$E$6:$E$61,"À tester sur GPU")+COUNTIFS('Production'!$E$6:$E$61,"À tester sur appareils")</x:f>
        <x:v>10</x:v>
      </x:c>
      <x:c r="F9" s="3"/>
      <x:c r="G9" s="3"/>
      <x:c r="H9" s="3"/>
    </x:row>
    <x:row r="10" ht="27" customHeight="1">
      <x:c r="A10" s="3" t="str">
        <x:v>À vérifier dans le catalogue</x:v>
      </x:c>
      <x:c r="B10" s="32" t="n">
        <x:f>COUNTIFS('Anomalies'!$E$6:$E$125,"À vérifier")</x:f>
        <x:v>0</x:v>
      </x:c>
      <x:c r="C10" s="3"/>
      <x:c r="D10" s="3" t="str">
        <x:v>Lots futurs</x:v>
      </x:c>
      <x:c r="E10" s="34" t="n">
        <x:f>COUNTIFS('Production'!$E$6:$E$61,"Conçu — non implémenté")</x:f>
        <x:v>17</x:v>
      </x:c>
      <x:c r="F10" s="3"/>
      <x:c r="G10" s="3"/>
      <x:c r="H10" s="3"/>
    </x:row>
    <x:row r="11" ht="27" customHeight="1">
      <x:c r="A11" s="3" t="str">
        <x:v>Implémentées, QA partielle</x:v>
      </x:c>
      <x:c r="B11" s="32" t="n">
        <x:f>COUNTIFS('Anomalies'!$E$6:$E$125,"Implémenté — QA partielle")</x:f>
        <x:v>54</x:v>
      </x:c>
      <x:c r="C11" s="3"/>
      <x:c r="D11" s="3" t="str">
        <x:v>Priorités P0</x:v>
      </x:c>
      <x:c r="E11" s="34" t="n">
        <x:f>COUNTIFS('Production'!$B$6:$B$61,"P0")</x:f>
        <x:v>19</x:v>
      </x:c>
      <x:c r="F11" s="3"/>
      <x:c r="G11" s="3"/>
      <x:c r="H11" s="3"/>
    </x:row>
    <x:row r="12" ht="27" customHeight="1">
      <x:c r="A12" s="3" t="str">
        <x:v>Validées selon le suivi</x:v>
      </x:c>
      <x:c r="B12" s="32" t="n">
        <x:f>COUNTIFS('Anomalies'!$E$6:$E$125,"Validé")</x:f>
        <x:v>0</x:v>
      </x:c>
      <x:c r="C12" s="3"/>
      <x:c r="D12" s="3" t="str">
        <x:v>Priorités P1</x:v>
      </x:c>
      <x:c r="E12" s="34" t="n">
        <x:f>COUNTIFS('Production'!$B$6:$B$61,"P1")</x:f>
        <x:v>28</x:v>
      </x:c>
      <x:c r="F12" s="3"/>
      <x:c r="G12" s="3"/>
      <x:c r="H12" s="3"/>
    </x:row>
    <x:row r="13" ht="27" customHeight="1">
      <x:c r="A13" s="3" t="str">
        <x:v>Part du catalogue en code</x:v>
      </x:c>
      <x:c r="B13" s="33" t="n">
        <x:f>B8/B7</x:f>
        <x:v>0.45</x:v>
      </x:c>
      <x:c r="C13" s="3"/>
      <x:c r="D13" s="3" t="str">
        <x:v>Parcours QA documentés</x:v>
      </x:c>
      <x:c r="E13" s="34" t="n">
        <x:f>COUNTA('QA'!$A$6:$A$86)</x:f>
        <x:v>81</x:v>
      </x:c>
      <x:c r="F13" s="3"/>
      <x:c r="G13" s="3"/>
      <x:c r="H13" s="3"/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 ht="28" customHeight="1">
      <x:c r="A16" s="8" t="str">
        <x:v>Campagne</x:v>
      </x:c>
      <x:c r="B16" s="8" t="str">
        <x:v>Règle actuelle</x:v>
      </x:c>
      <x:c r="C16" s="3"/>
      <x:c r="D16" s="8" t="str">
        <x:v>Modes / communication</x:v>
      </x:c>
      <x:c r="E16" s="8" t="str">
        <x:v>État actuel</x:v>
      </x:c>
      <x:c r="F16" s="3"/>
      <x:c r="G16" s="3"/>
      <x:c r="H16" s="3"/>
    </x:row>
    <x:row r="17" ht="27" customHeight="1">
      <x:c r="A17" s="3" t="str">
        <x:v>Coopération</x:v>
      </x:c>
      <x:c r="B17" s="3" t="str">
        <x:v>2 à 4 joueurs</x:v>
      </x:c>
      <x:c r="C17" s="3"/>
      <x:c r="D17" s="3" t="str">
        <x:v>Solo</x:v>
      </x:c>
      <x:c r="E17" s="3" t="str">
        <x:v>Comparaison A/B</x:v>
      </x:c>
      <x:c r="F17" s="3"/>
      <x:c r="G17" s="3"/>
      <x:c r="H17" s="3"/>
    </x:row>
    <x:row r="18" ht="27" customHeight="1">
      <x:c r="A18" s="3" t="str">
        <x:v>Lieux construits</x:v>
      </x:c>
      <x:c r="B18" s="3" t="n">
        <x:v>3</x:v>
      </x:c>
      <x:c r="C18" s="3"/>
      <x:c r="D18" s="3" t="str">
        <x:v>Lieu au choix</x:v>
      </x:c>
      <x:c r="E18" s="3" t="str">
        <x:v>9 consécutifs</x:v>
      </x:c>
      <x:c r="F18" s="3"/>
      <x:c r="G18" s="3"/>
      <x:c r="H18" s="3"/>
    </x:row>
    <x:row r="19" ht="27" customHeight="1">
      <x:c r="A19" s="3" t="str">
        <x:v>Validations par lieu</x:v>
      </x:c>
      <x:c r="B19" s="3" t="n">
        <x:v>3</x:v>
      </x:c>
      <x:c r="C19" s="3"/>
      <x:c r="D19" s="3" t="str">
        <x:v>Détendu</x:v>
      </x:c>
      <x:c r="E19" s="3" t="str">
        <x:v>Erreurs illimitées</x:v>
      </x:c>
      <x:c r="F19" s="3"/>
      <x:c r="G19" s="3"/>
      <x:c r="H19" s="3"/>
    </x:row>
    <x:row r="20" ht="27" customHeight="1">
      <x:c r="A20" s="3" t="str">
        <x:v>Validations pour sortir</x:v>
      </x:c>
      <x:c r="B20" s="3" t="n">
        <x:v>9</x:v>
      </x:c>
      <x:c r="C20" s="3"/>
      <x:c r="D20" s="3" t="str">
        <x:v>Voix intégrée</x:v>
      </x:c>
      <x:c r="E20" s="3" t="str">
        <x:v>WebRTC / PTT</x:v>
      </x:c>
      <x:c r="F20" s="3"/>
      <x:c r="G20" s="3"/>
      <x:c r="H20" s="3"/>
    </x:row>
    <x:row r="21" ht="27" customHeight="1">
      <x:c r="A21" s="3" t="str">
        <x:v>Erreurs max. standard</x:v>
      </x:c>
      <x:c r="B21" s="3" t="n">
        <x:v>3</x:v>
      </x:c>
      <x:c r="C21" s="3"/>
      <x:c r="D21" s="3" t="str">
        <x:v>Preuves radio</x:v>
      </x:c>
      <x:c r="E21" s="3" t="str">
        <x:v>Test + relevé écrit</x:v>
      </x:c>
      <x:c r="F21" s="3"/>
      <x:c r="G21" s="3"/>
      <x:c r="H21" s="3"/>
    </x:row>
    <x:row r="22" ht="27" customHeight="1">
      <x:c r="A22" s="3" t="str">
        <x:v>Tours anormaux</x:v>
      </x:c>
      <x:c r="B22" s="35" t="n">
        <x:v>0.68</x:v>
      </x:c>
      <x:c r="C22" s="3"/>
      <x:c r="D22" s="3" t="str">
        <x:v>Reflets</x:v>
      </x:c>
      <x:c r="E22" s="3" t="str">
        <x:v>Planaires, corps</x:v>
      </x:c>
      <x:c r="F22" s="3"/>
      <x:c r="G22" s="3"/>
      <x:c r="H22" s="3"/>
    </x:row>
    <x:row r="23" ht="27" customHeight="1">
      <x:c r="A23" s="3" t="str">
        <x:v>Tours conformes</x:v>
      </x:c>
      <x:c r="B23" s="35" t="n">
        <x:v>0.32</x:v>
      </x:c>
      <x:c r="C23" s="3"/>
      <x:c r="D23" s="3" t="str">
        <x:v>GPU / micro matériel</x:v>
      </x:c>
      <x:c r="E23" s="3" t="str">
        <x:v>À éprouver</x:v>
      </x:c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  <x:row r="25">
      <x:c r="A25" s="34" t="str">
        <x:v>Périmètre et limites de la livraison</x:v>
      </x:c>
      <x:c r="B25" s="3"/>
      <x:c r="C25" s="3"/>
      <x:c r="D25" s="3"/>
      <x:c r="E25" s="3"/>
      <x:c r="F25" s="3"/>
      <x:c r="G25" s="3"/>
      <x:c r="H25" s="3"/>
    </x:row>
    <x:row r="26" ht="31" customHeight="1">
      <x:c r="A26" s="37" t="str">
        <x:v>Trois lieux : Saint-Clair, Terminus 09, Aile blanche. 54 anomalies en code ; 66 fiches supplémentaires conçues.</x:v>
      </x:c>
      <x:c r="B26" s="37"/>
      <x:c r="C26" s="37"/>
      <x:c r="D26" s="37"/>
      <x:c r="E26" s="37"/>
      <x:c r="F26" s="37"/>
      <x:c r="G26" s="37"/>
      <x:c r="H26" s="37"/>
    </x:row>
    <x:row r="27" ht="31" customHeight="1">
      <x:c r="A27" s="37" t="str">
        <x:v>Campagne : trois validations par lieu avec paliers conservés, et une nouvelle référence à chaque lieu. Lieu unique : neuf validations consécutives.</x:v>
      </x:c>
      <x:c r="B27" s="37"/>
      <x:c r="C27" s="37"/>
      <x:c r="D27" s="37"/>
      <x:c r="E27" s="37"/>
      <x:c r="F27" s="37"/>
      <x:c r="G27" s="37"/>
      <x:c r="H27" s="37"/>
    </x:row>
    <x:row r="28" ht="31" customHeight="1">
      <x:c r="A28" s="37" t="str">
        <x:v>Correctif 0.2.1 : flux micro tardifs arrêtés après extinction / sortie ; réactivation récente préservée ; commande de radio débloquée sans attendre une ancienne permission.</x:v>
      </x:c>
      <x:c r="B28" s="37"/>
      <x:c r="C28" s="37"/>
      <x:c r="D28" s="37"/>
      <x:c r="E28" s="37"/>
      <x:c r="F28" s="37"/>
      <x:c r="G28" s="37"/>
      <x:c r="H28" s="37"/>
    </x:row>
    <x:row r="29" ht="39" customHeight="1">
      <x:c r="A29" s="37" t="str">
        <x:v>Correctif 0.2.1 : 19 tests radio, 4 du contrôleur UI, deux builds et test portable à deux clients HTTP réussis. Preuves v0.2 conservées : 17 règles, 11 suites CPU 3D et D1 quatre clients. GPU, microphones physiques, transport vocal et TURN réel restent non validés.</x:v>
      </x:c>
      <x:c r="B29" s="37"/>
      <x:c r="C29" s="37"/>
      <x:c r="D29" s="37"/>
      <x:c r="E29" s="37"/>
      <x:c r="F29" s="37"/>
      <x:c r="G29" s="37"/>
      <x:c r="H29" s="37"/>
    </x:row>
    <x:row r="30" ht="31" customHeight="1">
      <x:c r="A30" s="37" t="str">
        <x:v>Microphone : HTTPS ou localhost. Un service TURN configuré peut être nécessaire entre réseaux. Aucun essai matériel ou GPU n’est présumé réussi.</x:v>
      </x:c>
      <x:c r="B30" s="37"/>
      <x:c r="C30" s="37"/>
      <x:c r="D30" s="37"/>
      <x:c r="E30" s="37"/>
      <x:c r="F30" s="37"/>
      <x:c r="G30" s="37"/>
      <x:c r="H30" s="37"/>
    </x:row>
    <x:row r="31" ht="31" customHeight="1">
      <x:c r="A31" s="37" t="str">
        <x:v>La production d’assets sculptés haute définition, le mix final, les cinématiques et la certification commerciale restent des lots distincts.</x:v>
      </x:c>
      <x:c r="B31" s="37"/>
      <x:c r="C31" s="37"/>
      <x:c r="D31" s="37"/>
      <x:c r="E31" s="37"/>
      <x:c r="F31" s="37"/>
      <x:c r="G31" s="37"/>
      <x:c r="H31" s="37"/>
    </x:row>
    <x:row r="32" ht="31" customHeight="1">
      <x:c r="A32" s="37" t="str">
        <x:v>Lecture : filtrez Code actuel et Statut dans Anomalies. Les colonnes Lieux et Canal de preuve aident à préparer une session ou un lot de développement.</x:v>
      </x:c>
      <x:c r="B32" s="37"/>
      <x:c r="C32" s="37"/>
      <x:c r="D32" s="37"/>
      <x:c r="E32" s="37"/>
      <x:c r="F32" s="37"/>
      <x:c r="G32" s="37"/>
      <x:c r="H32" s="37"/>
    </x:row>
    <x:row r="33" ht="31" customHeight="1">
      <x:c r="A33" s="37" t="str">
        <x:v>Mise à jour : les compteurs sont des formules liées aux tables. Les JSON et le générateur documentés permettent de reconstruire ce fichier.</x:v>
      </x:c>
      <x:c r="B33" s="37"/>
      <x:c r="C33" s="37"/>
      <x:c r="D33" s="37"/>
      <x:c r="E33" s="37"/>
      <x:c r="F33" s="37"/>
      <x:c r="G33" s="37"/>
      <x:c r="H33" s="37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8" t="str">
        <x:v>Les 120 fiches sont originales. Les inspirations de genre et les sources techniques sont documentées dans Références.</x:v>
      </x:c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</x:sheetData>
  <x:mergeCells>
    <x:mergeCell ref="A26:H26"/>
    <x:mergeCell ref="A27:H27"/>
    <x:mergeCell ref="A28:H28"/>
    <x:mergeCell ref="A29:H29"/>
    <x:mergeCell ref="A30:H30"/>
    <x:mergeCell ref="A31:H31"/>
    <x:mergeCell ref="A32:H32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57" hidden="0" customWidth="1"/>
    <x:col min="4" max="4" width="38" hidden="0" customWidth="1"/>
    <x:col min="5" max="5" width="54" hidden="0" customWidth="1"/>
    <x:col min="6" max="6" width="27" hidden="0" customWidth="1"/>
    <x:col min="7" max="7" width="6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La boucle de Protocole 9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Campagne : trois validations par lieu. Lieu au choix : neuf validations consécutives.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Étape / règle</x:v>
      </x:c>
      <x:c r="C5" s="10" t="str">
        <x:v>Action ou condition</x:v>
      </x:c>
      <x:c r="D5" s="10" t="str">
        <x:v>Déclencheur</x:v>
      </x:c>
      <x:c r="E5" s="10" t="str">
        <x:v>Résultat</x:v>
      </x:c>
      <x:c r="F5" s="10" t="str">
        <x:v>Portée</x:v>
      </x:c>
      <x:c r="G5" s="10" t="str">
        <x:v>Précision</x:v>
      </x:c>
    </x:row>
    <x:row r="6" ht="40" customHeight="1">
      <x:c r="A6" s="12" t="str">
        <x:v>L01</x:v>
      </x:c>
      <x:c r="B6" s="12" t="str">
        <x:v>Salon</x:v>
      </x:c>
      <x:c r="C6" s="12" t="str">
        <x:v>Créer ou rejoindre une salle à code ; choisir campagne ou lieu, difficulté et pseudonyme.</x:v>
      </x:c>
      <x:c r="D6" s="12" t="str">
        <x:v>2 à 4 membres</x:v>
      </x:c>
      <x:c r="E6" s="12" t="str">
        <x:v>Participants, mode et lieu de départ sont partagés.</x:v>
      </x:c>
      <x:c r="F6" s="13" t="str">
        <x:v>Implémenté — QA partielle</x:v>
      </x:c>
      <x:c r="G6" s="12" t="str">
        <x:v>Le serveur confirme la salle ; le menu ne prétend pas être connecté avant cette réponse.</x:v>
      </x:c>
    </x:row>
    <x:row r="7" ht="40" customHeight="1">
      <x:c r="A7" s="11" t="str">
        <x:v>L02</x:v>
      </x:c>
      <x:c r="B7" s="11" t="str">
        <x:v>Référence</x:v>
      </x:c>
      <x:c r="C7" s="11" t="str">
        <x:v>Explorer une version normale avant la première inspection et à chaque nouveau lieu de campagne.</x:v>
      </x:c>
      <x:c r="D7" s="11" t="str">
        <x:v>Début puis paliers 3 et 6</x:v>
      </x:c>
      <x:c r="E7" s="11" t="str">
        <x:v>Aucun point ni anomalie pendant ce passage.</x:v>
      </x:c>
      <x:c r="F7" s="13" t="str">
        <x:v>Implémenté — QA partielle</x:v>
      </x:c>
      <x:c r="G7" s="11" t="str">
        <x:v>Réapprendre les objets du lieu, le reflet synchrone, le relais égal et le test radio 1 / 2 / 3.</x:v>
      </x:c>
    </x:row>
    <x:row r="8" ht="40" customHeight="1">
      <x:c r="A8" s="12" t="str">
        <x:v>L03</x:v>
      </x:c>
      <x:c r="B8" s="12" t="str">
        <x:v>Tirage</x:v>
      </x:c>
      <x:c r="C8" s="12" t="str">
        <x:v>Le serveur tire dans le catalogue compatible avec le lieu et attribue une perception à chaque membre.</x:v>
      </x:c>
      <x:c r="D8" s="12" t="str">
        <x:v>Début d’une inspection</x:v>
      </x:c>
      <x:c r="E8" s="12" t="str">
        <x:v>Même espace ; effets privés visuels, relationnels ou radio.</x:v>
      </x:c>
      <x:c r="F8" s="13" t="str">
        <x:v>Implémenté — QA partielle</x:v>
      </x:c>
      <x:c r="G8" s="12" t="str">
        <x:v>68 % de tours anormaux, 32 % conformes. Valeurs initiales à équilibrer par playtests.</x:v>
      </x:c>
    </x:row>
    <x:row r="9" ht="40" customHeight="1">
      <x:c r="A9" s="11" t="str">
        <x:v>L04</x:v>
      </x:c>
      <x:c r="B9" s="11" t="str">
        <x:v>Observation</x:v>
      </x:c>
      <x:c r="C9" s="11" t="str">
        <x:v>Décrire le fait observé, son emplacement et son état. Se servir de repères communs.</x:v>
      </x:c>
      <x:c r="D9" s="11" t="str">
        <x:v>Exploration libre</x:v>
      </x:c>
      <x:c r="E9" s="11" t="str">
        <x:v>Les joueurs peuvent vérifier la même zone.</x:v>
      </x:c>
      <x:c r="F9" s="13" t="str">
        <x:v>Présent</x:v>
      </x:c>
      <x:c r="G9" s="11" t="str">
        <x:v>Aucun diagnostic automatique ne révèle la réponse avant les votes.</x:v>
      </x:c>
    </x:row>
    <x:row r="10" ht="40" customHeight="1">
      <x:c r="A10" s="12" t="str">
        <x:v>L05</x:v>
      </x:c>
      <x:c r="B10" s="12" t="str">
        <x:v>Communication</x:v>
      </x:c>
      <x:c r="C10" s="12" t="str">
        <x:v>Comparer des observations par talkie vocal, texte, repères et relevé d’étalonnage.</x:v>
      </x:c>
      <x:c r="D10" s="12" t="str">
        <x:v>Pendant l’inspection</x:v>
      </x:c>
      <x:c r="E10" s="12" t="str">
        <x:v>Le groupe échange emplacement, fait observé et comparaison.</x:v>
      </x:c>
      <x:c r="F10" s="13" t="str">
        <x:v>Implémenté — QA partielle</x:v>
      </x:c>
      <x:c r="G10" s="12" t="str">
        <x:v>L’écoute et le texte restent utilisables sans ouvrir le microphone. Les problèmes de liaison ont leur propre message.</x:v>
      </x:c>
    </x:row>
    <x:row r="11" ht="40" customHeight="1">
      <x:c r="A11" s="11" t="str">
        <x:v>L06</x:v>
      </x:c>
      <x:c r="B11" s="11" t="str">
        <x:v>Vote</x:v>
      </x:c>
      <x:c r="C11" s="11" t="str">
        <x:v>Chaque membre choisit « Anomalie » ou « Conforme ».</x:v>
      </x:c>
      <x:c r="D11" s="11" t="str">
        <x:v>Inspection en cours</x:v>
      </x:c>
      <x:c r="E11" s="11" t="str">
        <x:v>Les votes restent modifiables tant qu’ils sont divergents.</x:v>
      </x:c>
      <x:c r="F11" s="13" t="str">
        <x:v>Présent</x:v>
      </x:c>
      <x:c r="G11" s="11" t="str">
        <x:v>Un signalement vrai pour un seul observateur suffit à rendre le tour anormal.</x:v>
      </x:c>
    </x:row>
    <x:row r="12" ht="40" customHeight="1">
      <x:c r="A12" s="12" t="str">
        <x:v>L07</x:v>
      </x:c>
      <x:c r="B12" s="12" t="str">
        <x:v>Désaccord</x:v>
      </x:c>
      <x:c r="C12" s="12" t="str">
        <x:v>Les joueurs revoient leurs observations. Aucun vote majoritaire n’impose une décision.</x:v>
      </x:c>
      <x:c r="D12" s="12" t="str">
        <x:v>Votes divergents</x:v>
      </x:c>
      <x:c r="E12" s="12" t="str">
        <x:v>L’inspection se poursuit jusqu’à un accord.</x:v>
      </x:c>
      <x:c r="F12" s="13" t="str">
        <x:v>Présent</x:v>
      </x:c>
      <x:c r="G12" s="12" t="str">
        <x:v>Deux participants présents au minimum pour résoudre un tour coopératif.</x:v>
      </x:c>
    </x:row>
    <x:row r="13" ht="40" customHeight="1">
      <x:c r="A13" s="11" t="str">
        <x:v>L08</x:v>
      </x:c>
      <x:c r="B13" s="11" t="str">
        <x:v>Résolution</x:v>
      </x:c>
      <x:c r="C13" s="11" t="str">
        <x:v>Le serveur compare le vote unanime à la vérité du tour.</x:v>
      </x:c>
      <x:c r="D13" s="11" t="str">
        <x:v>Accord de tous les participants présents</x:v>
      </x:c>
      <x:c r="E13" s="11" t="str">
        <x:v>Le résultat et l’explication sont dévoilés.</x:v>
      </x:c>
      <x:c r="F13" s="13" t="str">
        <x:v>Présent</x:v>
      </x:c>
      <x:c r="G13" s="11" t="str">
        <x:v>Le client ne peut pas choisir lui-même la vérité ou le score.</x:v>
      </x:c>
    </x:row>
    <x:row r="14" ht="40" customHeight="1">
      <x:c r="A14" s="12" t="str">
        <x:v>L09</x:v>
      </x:c>
      <x:c r="B14" s="12" t="str">
        <x:v>Diagnostic correct</x:v>
      </x:c>
      <x:c r="C14" s="12" t="str">
        <x:v>Ajouter une validation dans le secteur courant.</x:v>
      </x:c>
      <x:c r="D14" s="12" t="str">
        <x:v>Vote correct</x:v>
      </x:c>
      <x:c r="E14" s="12" t="str">
        <x:v>Campagne : trois validations dans chacun des trois lieux. Lieu au choix : série de neuf.</x:v>
      </x:c>
      <x:c r="F14" s="13" t="str">
        <x:v>Implémenté — QA partielle</x:v>
      </x:c>
      <x:c r="G14" s="12" t="str">
        <x:v>Un tour conforme bien reconnu compte autant qu’une anomalie. Le point n’est accordé qu’une fois.</x:v>
      </x:c>
    </x:row>
    <x:row r="15" ht="40" customHeight="1">
      <x:c r="A15" s="11" t="str">
        <x:v>L10</x:v>
      </x:c>
      <x:c r="B15" s="11" t="str">
        <x:v>Diagnostic incorrect</x:v>
      </x:c>
      <x:c r="C15" s="11" t="str">
        <x:v>Ajouter une erreur ; remettre la progression du lieu courant à zéro.</x:v>
      </x:c>
      <x:c r="D15" s="11" t="str">
        <x:v>Vote incorrect</x:v>
      </x:c>
      <x:c r="E15" s="11" t="str">
        <x:v>Campagne : conserver les paliers de 3 ou 6 déjà acquis. Lieu au choix : revenir à 0.</x:v>
      </x:c>
      <x:c r="F15" s="13" t="str">
        <x:v>Implémenté — QA partielle</x:v>
      </x:c>
      <x:c r="G15" s="11" t="str">
        <x:v>La troisième erreur termine le mode standard. Les validations du secteur en cours ne forment plus une série.</x:v>
      </x:c>
    </x:row>
    <x:row r="16" ht="40" customHeight="1">
      <x:c r="A16" s="12" t="str">
        <x:v>L11</x:v>
      </x:c>
      <x:c r="B16" s="12" t="str">
        <x:v>Sortie</x:v>
      </x:c>
      <x:c r="C16" s="12" t="str">
        <x:v>Terminer après neuf validations totales : trois par secteur ou neuf consécutives dans un seul lieu.</x:v>
      </x:c>
      <x:c r="D16" s="12" t="str">
        <x:v>Dernière validation</x:v>
      </x:c>
      <x:c r="E16" s="12" t="str">
        <x:v>Victoire et bilan de la session.</x:v>
      </x:c>
      <x:c r="F16" s="13" t="str">
        <x:v>Implémenté — QA partielle</x:v>
      </x:c>
      <x:c r="G16" s="12" t="str">
        <x:v>Aucune durée de partie garantie ; l’exploration et les erreurs la déterminent.</x:v>
      </x:c>
    </x:row>
    <x:row r="17" ht="40" customHeight="1">
      <x:c r="A17" s="11" t="str">
        <x:v>L12</x:v>
      </x:c>
      <x:c r="B17" s="11" t="str">
        <x:v>Échec standard</x:v>
      </x:c>
      <x:c r="C17" s="11" t="str">
        <x:v>Terminer la session au troisième diagnostic incorrect.</x:v>
      </x:c>
      <x:c r="D17" s="11" t="str">
        <x:v>Erreurs = 3</x:v>
      </x:c>
      <x:c r="E17" s="11" t="str">
        <x:v>Bilan, relecture des erreurs et nouvelle tentative.</x:v>
      </x:c>
      <x:c r="F17" s="13" t="str">
        <x:v>Présent</x:v>
      </x:c>
      <x:c r="G17" s="11" t="str">
        <x:v>Les erreurs ne réduisent pas des points d’expérience payants.</x:v>
      </x:c>
    </x:row>
    <x:row r="18" ht="40" customHeight="1">
      <x:c r="A18" s="12" t="str">
        <x:v>L13</x:v>
      </x:c>
      <x:c r="B18" s="12" t="str">
        <x:v>Mode détendu</x:v>
      </x:c>
      <x:c r="C18" s="12" t="str">
        <x:v>Conserver les règles de progression du mode choisi, avec erreurs illimitées.</x:v>
      </x:c>
      <x:c r="D18" s="12" t="str">
        <x:v>Difficulté détendue</x:v>
      </x:c>
      <x:c r="E18" s="12" t="str">
        <x:v>Apprendre sans fin de session forcée.</x:v>
      </x:c>
      <x:c r="F18" s="13" t="str">
        <x:v>Implémenté — QA partielle</x:v>
      </x:c>
      <x:c r="G18" s="12" t="str">
        <x:v>Une erreur remet seulement le secteur courant à zéro en campagne ; tout le compteur en lieu unique.</x:v>
      </x:c>
    </x:row>
    <x:row r="19" ht="40" customHeight="1">
      <x:c r="A19" s="11" t="str">
        <x:v>L14</x:v>
      </x:c>
      <x:c r="B19" s="11" t="str">
        <x:v>Entraînement solo</x:v>
      </x:c>
      <x:c r="C19" s="11" t="str">
        <x:v>Explorer puis basculer entre les perceptions A et B.</x:v>
      </x:c>
      <x:c r="D19" s="11" t="str">
        <x:v>Un seul joueur</x:v>
      </x:c>
      <x:c r="E19" s="11" t="str">
        <x:v>Comprendre la coopération par comparaison successive.</x:v>
      </x:c>
      <x:c r="F19" s="13" t="str">
        <x:v>Présent</x:v>
      </x:c>
      <x:c r="G19" s="11" t="str">
        <x:v>Le changement de vue n’est pas proposé aux clients d’une salle coop.</x:v>
      </x:c>
    </x:row>
    <x:row r="20" ht="40" customHeight="1">
      <x:c r="A20" s="12" t="str">
        <x:v>L15</x:v>
      </x:c>
      <x:c r="B20" s="12" t="str">
        <x:v>Renouvellement</x:v>
      </x:c>
      <x:c r="C20" s="12" t="str">
        <x:v>Éviter les cinq dernières anomalies déjà tirées.</x:v>
      </x:c>
      <x:c r="D20" s="12" t="str">
        <x:v>Tirage avec anomalie</x:v>
      </x:c>
      <x:c r="E20" s="12" t="str">
        <x:v>Réduire les répétitions immédiates.</x:v>
      </x:c>
      <x:c r="F20" s="13" t="str">
        <x:v>Présent</x:v>
      </x:c>
      <x:c r="G20" s="12" t="str">
        <x:v>Le catalogue reste fini et peut être revu après plusieurs tours.</x:v>
      </x:c>
    </x:row>
    <x:row r="21" ht="40" customHeight="1">
      <x:c r="A21" s="11" t="str">
        <x:v>L16</x:v>
      </x:c>
      <x:c r="B21" s="11" t="str">
        <x:v>Distribution à 2</x:v>
      </x:c>
      <x:c r="C21" s="11" t="str">
        <x:v>Attribuer l’anomalie à exactement un témoin et garder une vue normale.</x:v>
      </x:c>
      <x:c r="D21" s="11" t="str">
        <x:v>Salle de deux joueurs</x:v>
      </x:c>
      <x:c r="E21" s="11" t="str">
        <x:v>La communication reste nécessaire.</x:v>
      </x:c>
      <x:c r="F21" s="13" t="str">
        <x:v>Présent</x:v>
      </x:c>
      <x:c r="G21" s="11" t="str">
        <x:v>Les trois effets relationnels attribuent plutôt des codes, flèches ou heures SYNCHRO plausibles mais contradictoires.</x:v>
      </x:c>
    </x:row>
    <x:row r="22" ht="40" customHeight="1">
      <x:c r="A22" s="12" t="str">
        <x:v>L17</x:v>
      </x:c>
      <x:c r="B22" s="12" t="str">
        <x:v>Distribution à 3–4</x:v>
      </x:c>
      <x:c r="C22" s="12" t="str">
        <x:v>Généralement un témoin, parfois deux. Conserver au moins un témoin normal.</x:v>
      </x:c>
      <x:c r="D22" s="12" t="str">
        <x:v>35 % des tours anormaux peuvent avoir deux témoins</x:v>
      </x:c>
      <x:c r="E22" s="12" t="str">
        <x:v>Empêcher une règle fiable du type « la majorité a raison ».</x:v>
      </x:c>
      <x:c r="F22" s="13" t="str">
        <x:v>Présent</x:v>
      </x:c>
      <x:c r="G22" s="12" t="str">
        <x:v>Il s’agit d’une distribution initiale à équilibrer en tests.</x:v>
      </x:c>
    </x:row>
    <x:row r="23" ht="40" customHeight="1">
      <x:c r="A23" s="11" t="str">
        <x:v>L18</x:v>
      </x:c>
      <x:c r="B23" s="11" t="str">
        <x:v>Double anomalie</x:v>
      </x:c>
      <x:c r="C23" s="11" t="str">
        <x:v>Combiner deux effets compatibles, avec preuves séparées.</x:v>
      </x:c>
      <x:c r="D23" s="11" t="str">
        <x:v>Mode avancé futur</x:v>
      </x:c>
      <x:c r="E23" s="11" t="str">
        <x:v>Approfondir la discussion sans supprimer les tours normaux.</x:v>
      </x:c>
      <x:c r="F23" s="13" t="str">
        <x:v>Prévu</x:v>
      </x:c>
      <x:c r="G23" s="11" t="str">
        <x:v>Ne pas combiner une obscurité totale avec un indice uniquement visuel minuscule.</x:v>
      </x:c>
    </x:row>
    <x:row r="24" ht="40" customHeight="1">
      <x:c r="A24" s="12" t="str">
        <x:v>L19</x:v>
      </x:c>
      <x:c r="B24" s="12" t="str">
        <x:v>Menace active</x:v>
      </x:c>
      <x:c r="C24" s="12" t="str">
        <x:v>Une présence réagit au regard et exige une stratégie collective simple.</x:v>
      </x:c>
      <x:c r="D24" s="12" t="str">
        <x:v>Extension future</x:v>
      </x:c>
      <x:c r="E24" s="12" t="str">
        <x:v>Un joueur guide pendant que l’autre maintient le regard.</x:v>
      </x:c>
      <x:c r="F24" s="13" t="str">
        <x:v>Prévu</x:v>
      </x:c>
      <x:c r="G24" s="12" t="str">
        <x:v>Chaque menace doit avoir un indice précurseur et une issue sûre.</x:v>
      </x:c>
    </x:row>
    <x:row r="25" ht="40" customHeight="1">
      <x:c r="A25" s="11" t="str">
        <x:v>L20</x:v>
      </x:c>
      <x:c r="B25" s="11" t="str">
        <x:v>Méta progression</x:v>
      </x:c>
      <x:c r="C25" s="11" t="str">
        <x:v>Conserver une archive locale des anomalies rencontrées et les réglages.</x:v>
      </x:c>
      <x:c r="D25" s="11" t="str">
        <x:v>Révélation et fin de session</x:v>
      </x:c>
      <x:c r="E25" s="11" t="str">
        <x:v>Relire les preuves déjà découvertes.</x:v>
      </x:c>
      <x:c r="F25" s="13" t="str">
        <x:v>Partiel</x:v>
      </x:c>
      <x:c r="G25" s="11" t="str">
        <x:v>La collection existe ; cosmétiques, enquête persistante et déblocage d’autres cartes restent à produire.</x:v>
      </x:c>
    </x:row>
    <x:row r="26" ht="40" customHeight="1">
      <x:c r="A26" s="12" t="str">
        <x:v>L21</x:v>
      </x:c>
      <x:c r="B26" s="12" t="str">
        <x:v>Campagne</x:v>
      </x:c>
      <x:c r="C26" s="12" t="str">
        <x:v>Saint-Clair → Terminus 09 → Aile blanche.</x:v>
      </x:c>
      <x:c r="D26" s="12" t="str">
        <x:v>Nouvelle partie campagne</x:v>
      </x:c>
      <x:c r="E26" s="12" t="str">
        <x:v>Trois inspections correctes consécutives par secteur, neuf au total.</x:v>
      </x:c>
      <x:c r="F26" s="13" t="str">
        <x:v>Implémenté — QA partielle</x:v>
      </x:c>
      <x:c r="G26" s="12" t="str">
        <x:v>Une référence propre précède chacun des trois secteurs ; aucune inspection ne change de lieu à mi-tour.</x:v>
      </x:c>
    </x:row>
    <x:row r="27" ht="40" customHeight="1">
      <x:c r="A27" s="11" t="str">
        <x:v>L22</x:v>
      </x:c>
      <x:c r="B27" s="11" t="str">
        <x:v>Palier de lieu</x:v>
      </x:c>
      <x:c r="C27" s="11" t="str">
        <x:v>Après la troisième réussite du secteur, afficher le résultat puis ouvrir le lieu suivant en référence.</x:v>
      </x:c>
      <x:c r="D27" s="11" t="str">
        <x:v>Paliers 3 et 6</x:v>
      </x:c>
      <x:c r="E27" s="11" t="str">
        <x:v>Le changement de décor est une transition de règle lisible.</x:v>
      </x:c>
      <x:c r="F27" s="13" t="str">
        <x:v>Implémenté — QA partielle</x:v>
      </x:c>
      <x:c r="G27" s="11" t="str">
        <x:v>Le compteur global demeure au palier acquis ; toutes les perceptions rejoignent le même lieu.</x:v>
      </x:c>
    </x:row>
    <x:row r="28" ht="40" customHeight="1">
      <x:c r="A28" s="12" t="str">
        <x:v>L23</x:v>
      </x:c>
      <x:c r="B28" s="12" t="str">
        <x:v>Lieu au choix</x:v>
      </x:c>
      <x:c r="C28" s="12" t="str">
        <x:v>Choisir l’un des trois lieux et y jouer toute la session.</x:v>
      </x:c>
      <x:c r="D28" s="12" t="str">
        <x:v>Mode single</x:v>
      </x:c>
      <x:c r="E28" s="12" t="str">
        <x:v>Neuf diagnostics consécutifs ; chaque erreur remet la série à zéro.</x:v>
      </x:c>
      <x:c r="F28" s="13" t="str">
        <x:v>Implémenté — QA partielle</x:v>
      </x:c>
      <x:c r="G28" s="12" t="str">
        <x:v>Utile pour apprendre une baseline ou rejouer un catalogue local.</x:v>
      </x:c>
    </x:row>
    <x:row r="29" ht="40" customHeight="1">
      <x:c r="A29" s="11" t="str">
        <x:v>L24</x:v>
      </x:c>
      <x:c r="B29" s="11" t="str">
        <x:v>Étalonnage radio</x:v>
      </x:c>
      <x:c r="C29" s="11" t="str">
        <x:v>Déclencher trois tonalités connues et lire le relevé privé.</x:v>
      </x:c>
      <x:c r="D29" s="11" t="str">
        <x:v>Bouton Étalonner</x:v>
      </x:c>
      <x:c r="E29" s="11" t="str">
        <x:v>Détecter les six anomalies radio même sans voix entrante ni microphone.</x:v>
      </x:c>
      <x:c r="F29" s="13" t="str">
        <x:v>Implémenté — QA partielle</x:v>
      </x:c>
      <x:c r="G29" s="11" t="str">
        <x:v>Le relevé décrit un phénomène concret ; le joueur choisit son diagnostic.</x:v>
      </x:c>
    </x:row>
    <x:row r="30" ht="40" customHeight="1">
      <x:c r="A30" s="12" t="str">
        <x:v>L25</x:v>
      </x:c>
      <x:c r="B30" s="12" t="str">
        <x:v>Reflet de référence</x:v>
      </x:c>
      <x:c r="C30" s="12" t="str">
        <x:v>Regarder son corps et celui des équipiers dans le miroir.</x:v>
      </x:c>
      <x:c r="D30" s="12" t="str">
        <x:v>Référence puis inspection</x:v>
      </x:c>
      <x:c r="E30" s="12" t="str">
        <x:v>Observer synchronisation, nombre de corps et gestes.</x:v>
      </x:c>
      <x:c r="F30" s="13" t="str">
        <x:v>Implémenté — QA partielle</x:v>
      </x:c>
      <x:c r="G30" s="12" t="str">
        <x:v>Ne pas compter un saut de réseau ou une animation interrompue comme preuve ; vérifier l’effet persistant.</x:v>
      </x:c>
    </x:row>
    <x:row r="31" ht="40" customHeight="1">
      <x:c r="A31" s="11" t="str">
        <x:v>L26</x:v>
      </x:c>
      <x:c r="B31" s="11" t="str">
        <x:v>Sauvegarde solo</x:v>
      </x:c>
      <x:c r="C31" s="11" t="str">
        <x:v>Reprendre une session v0.2 ; convertir les anciennes sauvegardes v0.1 en hôtel au choix.</x:v>
      </x:c>
      <x:c r="D31" s="11" t="str">
        <x:v>Chargement local</x:v>
      </x:c>
      <x:c r="E31" s="11" t="str">
        <x:v>Conserver le sens de l’ancienne série de neuf.</x:v>
      </x:c>
      <x:c r="F31" s="13" t="str">
        <x:v>Implémenté — QA partielle</x:v>
      </x:c>
      <x:c r="G31" s="11" t="str">
        <x:v>Une sauvegarde malformée doit être rejetée proprement ; pas de transfert d’une vérité privée en coop.</x:v>
      </x:c>
    </x:row>
    <x:row r="32" ht="40" customHeight="1">
      <x:c r="A32" s="12" t="str">
        <x:v>L27</x:v>
      </x:c>
      <x:c r="B32" s="12" t="str">
        <x:v>Débrief explicite</x:v>
      </x:c>
      <x:c r="C32" s="12" t="str">
        <x:v>Afficher l’objet, le phénomène et la comparaison après la résolution.</x:v>
      </x:c>
      <x:c r="D32" s="12" t="str">
        <x:v>Unanimité atteinte</x:v>
      </x:c>
      <x:c r="E32" s="12" t="str">
        <x:v>Apprendre la cause de la bonne ou mauvaise décision.</x:v>
      </x:c>
      <x:c r="F32" s="13" t="str">
        <x:v>Implémenté — QA partielle</x:v>
      </x:c>
      <x:c r="G32" s="12" t="str">
        <x:v>Le diagnostic ne doit pas rester expliqué par « vous avez eu tort » sans fait observable.</x:v>
      </x:c>
    </x:row>
  </x:sheetData>
  <x:conditionalFormatting sqref="F6:F32">
    <x:cfRule type="containsText" dxfId="3" priority="1" operator="containsText" text="Bloqué"/>
    <x:cfRule type="containsText" dxfId="4" priority="2" operator="containsText" text="Validé"/>
    <x:cfRule type="containsText" dxfId="5" priority="3" operator="containsText" text="Réussi"/>
  </x:conditionalFormatting>
  <x:dataValidations count="1">
    <x:dataValidation type="list" sqref="F6:F32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c3b554c7314ae1"/>
  </x:tableParts>
</x:worksheet>
</file>

<file path=xl/worksheets/sheet3.xml><?xml version="1.0" encoding="utf-8"?>
<x:worksheet xmlns:x="http://schemas.openxmlformats.org/spreadsheetml/2006/main">
  <x:sheetPr>
    <x:tabColor rgb="FFC19B5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8" hidden="0" customWidth="1"/>
    <x:col min="4" max="4" width="16" hidden="0" customWidth="1"/>
    <x:col min="5" max="5" width="31" hidden="0" customWidth="1"/>
    <x:col min="6" max="6" width="12" hidden="0" customWidth="1"/>
    <x:col min="7" max="7" width="28" hidden="0" customWidth="1"/>
    <x:col min="8" max="8" width="48" hidden="0" customWidth="1"/>
    <x:col min="9" max="9" width="48" hidden="0" customWidth="1"/>
    <x:col min="10" max="10" width="44" hidden="0" customWidth="1"/>
    <x:col min="11" max="11" width="49" hidden="0" customWidth="1"/>
    <x:col min="12" max="12" width="43" hidden="0" customWidth="1"/>
    <x:col min="13" max="13" width="47" hidden="0" customWidth="1"/>
    <x:col min="14" max="14" width="49" hidden="0" customWidth="1"/>
    <x:col min="15" max="15" width="43" hidden="0" customWidth="1"/>
    <x:col min="16" max="16" width="29" hidden="0" customWidth="1"/>
    <x:col min="17" max="17" width="15" hidden="0" customWidth="1"/>
    <x:col min="18" max="18" width="53" hidden="0" customWidth="1"/>
    <x:col min="19" max="19" width="20" hidden="0" customWidth="1"/>
    <x:col min="20" max="20" width="20" hidden="0" customWidth="1"/>
    <x:col min="21" max="21" width="20" hidden="0" customWidth="1"/>
    <x:col min="22" max="22" width="3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7" customHeight="1">
      <x:c r="A2" s="4" t="str">
        <x:v>120 anomalies — catalogue et suivi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</x:row>
    <x:row r="4" ht="23" customHeight="1">
      <x:c r="A4" s="6" t="str">
        <x:v>A = perception affectée ; B = autre témoin. Mise en scène / assets = conception. Les trois colonnes de lieu indiquent la disponibilité en code.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 ht="40" customHeight="1">
      <x:c r="A5" s="10" t="str">
        <x:v>ID</x:v>
      </x:c>
      <x:c r="B5" s="10" t="str">
        <x:v>Anomalie</x:v>
      </x:c>
      <x:c r="C5" s="10" t="str">
        <x:v>Famille</x:v>
      </x:c>
      <x:c r="D5" s="10" t="str">
        <x:v>Code actuel</x:v>
      </x:c>
      <x:c r="E5" s="10" t="str">
        <x:v>Statut</x:v>
      </x:c>
      <x:c r="F5" s="10" t="str">
        <x:v>Peur (1–5)</x:v>
      </x:c>
      <x:c r="G5" s="10" t="str">
        <x:v>Lieu / repère</x:v>
      </x:c>
      <x:c r="H5" s="10" t="str">
        <x:v>Référence normale</x:v>
      </x:c>
      <x:c r="I5" s="10" t="str">
        <x:v>Perception A</x:v>
      </x:c>
      <x:c r="J5" s="10" t="str">
        <x:v>Perception B</x:v>
      </x:c>
      <x:c r="K5" s="10" t="str">
        <x:v>Comparaison à communiquer</x:v>
      </x:c>
      <x:c r="L5" s="10" t="str">
        <x:v>Déclenchement / mise en scène</x:v>
      </x:c>
      <x:c r="M5" s="10" t="str">
        <x:v>Preuve et décision</x:v>
      </x:c>
      <x:c r="N5" s="10" t="str">
        <x:v>Équité et accessibilité</x:v>
      </x:c>
      <x:c r="O5" s="10" t="str">
        <x:v>Assets et animation prévus</x:v>
      </x:c>
      <x:c r="P5" s="10" t="str">
        <x:v>Identifiant moteur</x:v>
      </x:c>
      <x:c r="Q5" s="10" t="str">
        <x:v>Difficulté (1–3)</x:v>
      </x:c>
      <x:c r="R5" s="10" t="str">
        <x:v>Validation et limites</x:v>
      </x:c>
      <x:c r="S5" s="10" t="str">
        <x:v>Saint-Clair (code)</x:v>
      </x:c>
      <x:c r="T5" s="10" t="str">
        <x:v>Terminus 09 (code)</x:v>
      </x:c>
      <x:c r="U5" s="10" t="str">
        <x:v>Aile blanche (code)</x:v>
      </x:c>
      <x:c r="V5" s="10" t="str">
        <x:v>Canal de preuve</x:v>
      </x:c>
    </x:row>
    <x:row r="6" ht="77" customHeight="1">
      <x:c r="A6" s="12" t="str">
        <x:v>PX-001</x:v>
      </x:c>
      <x:c r="B6" s="12" t="str">
        <x:v>La minute précédente</x:v>
      </x:c>
      <x:c r="C6" s="12" t="str">
        <x:v>Temps</x:v>
      </x:c>
      <x:c r="D6" s="12" t="str">
        <x:v>Présent</x:v>
      </x:c>
      <x:c r="E6" s="13" t="str">
        <x:v>Implémenté — QA partielle</x:v>
      </x:c>
      <x:c r="F6" s="16" t="n">
        <x:v>2</x:v>
      </x:c>
      <x:c r="G6" s="12" t="str">
        <x:v>Horloge</x:v>
      </x:c>
      <x:c r="H6" s="12" t="str">
        <x:v>L’horloge indique 03:09 ; la trotteuse tourne dans le sens horaire.</x:v>
      </x:c>
      <x:c r="I6" s="12" t="str">
        <x:v>La trotteuse tourne à rebours dans une seule perception.</x:v>
      </x:c>
      <x:c r="J6" s="12" t="str">
        <x:v>La trotteuse avance normalement.</x:v>
      </x:c>
      <x:c r="K6" s="12" t="str">
        <x:v>Comptez trois secondes ensemble et comparez le sens de rotation.</x:v>
      </x:c>
      <x:c r="L6" s="12" t="str">
        <x:v>Persistant pendant l’inspection.</x:v>
      </x:c>
      <x:c r="M6" s="12" t="str">
        <x:v>Le mouvement inverse suffit à voter anomalie.</x:v>
      </x:c>
      <x:c r="N6" s="12" t="str">
        <x:v>Un cycle dure plusieurs secondes. Aucun bref éclair à mémoriser.</x:v>
      </x:c>
      <x:c r="O6" s="12" t="str">
        <x:v>Horloge, pivot d’aiguille, animation locale.</x:v>
      </x:c>
      <x:c r="P6" s="12" t="str">
        <x:v>clock_reverse</x:v>
      </x:c>
      <x:c r="Q6" s="16" t="n">
        <x:v>2</x:v>
      </x:c>
      <x:c r="R6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6" s="18" t="str">
        <x:v>Oui</x:v>
      </x:c>
      <x:c r="T6" s="18" t="str">
        <x:v>—</x:v>
      </x:c>
      <x:c r="U6" s="18" t="str">
        <x:v>—</x:v>
      </x:c>
      <x:c r="V6" s="12" t="str">
        <x:v>Visuel / objet / espace</x:v>
      </x:c>
    </x:row>
    <x:row r="7" ht="77" customHeight="1">
      <x:c r="A7" s="11" t="str">
        <x:v>PX-002</x:v>
      </x:c>
      <x:c r="B7" s="11" t="str">
        <x:v>Le temps décroché</x:v>
      </x:c>
      <x:c r="C7" s="11" t="str">
        <x:v>Absence</x:v>
      </x:c>
      <x:c r="D7" s="11" t="str">
        <x:v>Présent</x:v>
      </x:c>
      <x:c r="E7" s="13" t="str">
        <x:v>Implémenté — QA partielle</x:v>
      </x:c>
      <x:c r="F7" s="17" t="n">
        <x:v>1</x:v>
      </x:c>
      <x:c r="G7" s="11" t="str">
        <x:v>Horloge</x:v>
      </x:c>
      <x:c r="H7" s="11" t="str">
        <x:v>Une horloge ronde est fixée au mur droit, près du fond.</x:v>
      </x:c>
      <x:c r="I7" s="11" t="str">
        <x:v>L’horloge a disparu ; son emplacement est vide pour le témoin.</x:v>
      </x:c>
      <x:c r="J7" s="11" t="str">
        <x:v>L’horloge est complète.</x:v>
      </x:c>
      <x:c r="K7" s="11" t="str">
        <x:v>Décrivez le mur entre deux portes sans demander « tu vois l’anomalie ? ».</x:v>
      </x:c>
      <x:c r="L7" s="11" t="str">
        <x:v>À l’entrée du tour.</x:v>
      </x:c>
      <x:c r="M7" s="11" t="str">
        <x:v>Une absence observée par un seul témoin reste une anomalie collective.</x:v>
      </x:c>
      <x:c r="N7" s="11" t="str">
        <x:v>Le repère de mur demeure identique pour orienter l’autre joueur.</x:v>
      </x:c>
      <x:c r="O7" s="11" t="str">
        <x:v>Masque de visibilité de l’horloge.</x:v>
      </x:c>
      <x:c r="P7" s="11" t="str">
        <x:v>clock_missing</x:v>
      </x:c>
      <x:c r="Q7" s="17" t="n">
        <x:v>1</x:v>
      </x:c>
      <x:c r="R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7" s="19" t="str">
        <x:v>Oui</x:v>
      </x:c>
      <x:c r="T7" s="19" t="str">
        <x:v>—</x:v>
      </x:c>
      <x:c r="U7" s="19" t="str">
        <x:v>—</x:v>
      </x:c>
      <x:c r="V7" s="11" t="str">
        <x:v>Visuel / objet / espace</x:v>
      </x:c>
    </x:row>
    <x:row r="8" ht="77" customHeight="1">
      <x:c r="A8" s="12" t="str">
        <x:v>PX-003</x:v>
      </x:c>
      <x:c r="B8" s="12" t="str">
        <x:v>Le regard de trop</x:v>
      </x:c>
      <x:c r="C8" s="12" t="str">
        <x:v>Présence</x:v>
      </x:c>
      <x:c r="D8" s="12" t="str">
        <x:v>Présent</x:v>
      </x:c>
      <x:c r="E8" s="13" t="str">
        <x:v>Implémenté — QA partielle</x:v>
      </x:c>
      <x:c r="F8" s="16" t="n">
        <x:v>4</x:v>
      </x:c>
      <x:c r="G8" s="12" t="str">
        <x:v>Tableau</x:v>
      </x:c>
      <x:c r="H8" s="12" t="str">
        <x:v>Le tableau du mur gauche présente une composition immobile.</x:v>
      </x:c>
      <x:c r="I8" s="12" t="str">
        <x:v>Deux yeux lumineux apparaissent dans la composition du tableau.</x:v>
      </x:c>
      <x:c r="J8" s="12" t="str">
        <x:v>Le tableau est abstrait et intact.</x:v>
      </x:c>
      <x:c r="K8" s="12" t="str">
        <x:v>Le partenaire décrit le tableau normal pendant que le témoin vérifie les yeux.</x:v>
      </x:c>
      <x:c r="L8" s="12" t="str">
        <x:v>Persistant, yeux animés lentement.</x:v>
      </x:c>
      <x:c r="M8" s="12" t="str">
        <x:v>Les yeux constituent un ajout absent de la référence.</x:v>
      </x:c>
      <x:c r="N8" s="12" t="str">
        <x:v>Les yeux restent visibles sans imposer de clignotements rapides.</x:v>
      </x:c>
      <x:c r="O8" s="12" t="str">
        <x:v>Texture procédurale, yeux en volume.</x:v>
      </x:c>
      <x:c r="P8" s="12" t="str">
        <x:v>portrait_eyes</x:v>
      </x:c>
      <x:c r="Q8" s="16" t="n">
        <x:v>2</x:v>
      </x:c>
      <x:c r="R8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" s="18" t="str">
        <x:v>Oui</x:v>
      </x:c>
      <x:c r="T8" s="18" t="str">
        <x:v>—</x:v>
      </x:c>
      <x:c r="U8" s="18" t="str">
        <x:v>—</x:v>
      </x:c>
      <x:c r="V8" s="12" t="str">
        <x:v>Visuel / objet / espace</x:v>
      </x:c>
    </x:row>
    <x:row r="9" ht="77" customHeight="1">
      <x:c r="A9" s="11" t="str">
        <x:v>PX-004</x:v>
      </x:c>
      <x:c r="B9" s="11" t="str">
        <x:v>L’image retirée</x:v>
      </x:c>
      <x:c r="C9" s="11" t="str">
        <x:v>Absence</x:v>
      </x:c>
      <x:c r="D9" s="11" t="str">
        <x:v>Présent</x:v>
      </x:c>
      <x:c r="E9" s="13" t="str">
        <x:v>Implémenté — QA partielle</x:v>
      </x:c>
      <x:c r="F9" s="17" t="n">
        <x:v>2</x:v>
      </x:c>
      <x:c r="G9" s="11" t="str">
        <x:v>Tableau</x:v>
      </x:c>
      <x:c r="H9" s="11" t="str">
        <x:v>Le cadre contient une composition illustrée.</x:v>
      </x:c>
      <x:c r="I9" s="11" t="str">
        <x:v>L’image est devenue vide ou noire mais le cadre demeure.</x:v>
      </x:c>
      <x:c r="J9" s="11" t="str">
        <x:v>L’image de référence demeure visible.</x:v>
      </x:c>
      <x:c r="K9" s="11" t="str">
        <x:v>Nommez ce que contient le cadre, pas simplement la présence du cadre.</x:v>
      </x:c>
      <x:c r="L9" s="11" t="str">
        <x:v>À l’entrée du tour.</x:v>
      </x:c>
      <x:c r="M9" s="11" t="str">
        <x:v>L’effacement de l’image justifie le signalement.</x:v>
      </x:c>
      <x:c r="N9" s="11" t="str">
        <x:v>La comparaison fonctionne en cas de perception différente des couleurs.</x:v>
      </x:c>
      <x:c r="O9" s="11" t="str">
        <x:v>Matériau alternatif du tableau.</x:v>
      </x:c>
      <x:c r="P9" s="11" t="str">
        <x:v>portrait_empty</x:v>
      </x:c>
      <x:c r="Q9" s="17" t="n">
        <x:v>2</x:v>
      </x:c>
      <x:c r="R9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" s="19" t="str">
        <x:v>Oui</x:v>
      </x:c>
      <x:c r="T9" s="19" t="str">
        <x:v>—</x:v>
      </x:c>
      <x:c r="U9" s="19" t="str">
        <x:v>—</x:v>
      </x:c>
      <x:c r="V9" s="11" t="str">
        <x:v>Visuel / objet / espace</x:v>
      </x:c>
    </x:row>
    <x:row r="10" ht="77" customHeight="1">
      <x:c r="A10" s="12" t="str">
        <x:v>PX-005</x:v>
      </x:c>
      <x:c r="B10" s="12" t="str">
        <x:v>La chambre qui n’existe pas</x:v>
      </x:c>
      <x:c r="C10" s="12" t="str">
        <x:v>Signalétique</x:v>
      </x:c>
      <x:c r="D10" s="12" t="str">
        <x:v>Présent</x:v>
      </x:c>
      <x:c r="E10" s="13" t="str">
        <x:v>Implémenté — QA partielle</x:v>
      </x:c>
      <x:c r="F10" s="16" t="n">
        <x:v>2</x:v>
      </x:c>
      <x:c r="G10" s="12" t="str">
        <x:v>Porte</x:v>
      </x:c>
      <x:c r="H10" s="12" t="str">
        <x:v>Les quatre chambres portent les numéros 901, 902, 903 et 904.</x:v>
      </x:c>
      <x:c r="I10" s="12" t="str">
        <x:v>La plaque 901 indique 909 pour un seul observateur.</x:v>
      </x:c>
      <x:c r="J10" s="12" t="str">
        <x:v>Le numéro normal reste présent.</x:v>
      </x:c>
      <x:c r="K10" s="12" t="str">
        <x:v>Lisez les numéros à voix haute, dans le même ordre.</x:v>
      </x:c>
      <x:c r="L10" s="12" t="str">
        <x:v>À l’entrée du tour.</x:v>
      </x:c>
      <x:c r="M10" s="12" t="str">
        <x:v>Un désaccord stable sur le même panneau est une anomalie.</x:v>
      </x:c>
      <x:c r="N10" s="12" t="str">
        <x:v>Le numéro doit être lisible à une distance d’inspection habituelle.</x:v>
      </x:c>
      <x:c r="O10" s="12" t="str">
        <x:v>Plaque texturée locale.</x:v>
      </x:c>
      <x:c r="P10" s="12" t="str">
        <x:v>door_number</x:v>
      </x:c>
      <x:c r="Q10" s="16" t="n">
        <x:v>2</x:v>
      </x:c>
      <x:c r="R10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0" s="18" t="str">
        <x:v>Oui</x:v>
      </x:c>
      <x:c r="T10" s="18" t="str">
        <x:v>—</x:v>
      </x:c>
      <x:c r="U10" s="18" t="str">
        <x:v>—</x:v>
      </x:c>
      <x:c r="V10" s="12" t="str">
        <x:v>Visuel / objet / espace</x:v>
      </x:c>
    </x:row>
    <x:row r="11" ht="77" customHeight="1">
      <x:c r="A11" s="11" t="str">
        <x:v>PX-006</x:v>
      </x:c>
      <x:c r="B11" s="11" t="str">
        <x:v>L’entrebâillement</x:v>
      </x:c>
      <x:c r="C11" s="11" t="str">
        <x:v>Architecture</x:v>
      </x:c>
      <x:c r="D11" s="11" t="str">
        <x:v>Présent</x:v>
      </x:c>
      <x:c r="E11" s="13" t="str">
        <x:v>Implémenté — QA partielle</x:v>
      </x:c>
      <x:c r="F11" s="17" t="n">
        <x:v>3</x:v>
      </x:c>
      <x:c r="G11" s="11" t="str">
        <x:v>Porte</x:v>
      </x:c>
      <x:c r="H11" s="11" t="str">
        <x:v>Les portes des chambres sont fermées.</x:v>
      </x:c>
      <x:c r="I11" s="11" t="str">
        <x:v>Une porte est entrouverte sur une obscurité inhabituelle.</x:v>
      </x:c>
      <x:c r="J11" s="11" t="str">
        <x:v>La même porte reste fermée.</x:v>
      </x:c>
      <x:c r="K11" s="11" t="str">
        <x:v>Le témoin reste à distance et demande au partenaire de vérifier la même porte.</x:v>
      </x:c>
      <x:c r="L11" s="11" t="str">
        <x:v>Persistant, ouverture lente.</x:v>
      </x:c>
      <x:c r="M11" s="11" t="str">
        <x:v>L’ouverture inhabituelle suffit. Entrer n’est pas requis.</x:v>
      </x:c>
      <x:c r="N11" s="11" t="str">
        <x:v>La collision de déplacement commune ne piège aucun joueur.</x:v>
      </x:c>
      <x:c r="O11" s="11" t="str">
        <x:v>Battant articulé, chambranle, volume sombre.</x:v>
      </x:c>
      <x:c r="P11" s="11" t="str">
        <x:v>door_open</x:v>
      </x:c>
      <x:c r="Q11" s="17" t="n">
        <x:v>1</x:v>
      </x:c>
      <x:c r="R11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1" s="19" t="str">
        <x:v>Oui</x:v>
      </x:c>
      <x:c r="T11" s="19" t="str">
        <x:v>—</x:v>
      </x:c>
      <x:c r="U11" s="19" t="str">
        <x:v>—</x:v>
      </x:c>
      <x:c r="V11" s="11" t="str">
        <x:v>Visuel / objet / espace</x:v>
      </x:c>
    </x:row>
    <x:row r="12" ht="77" customHeight="1">
      <x:c r="A12" s="12" t="str">
        <x:v>PX-007</x:v>
      </x:c>
      <x:c r="B12" s="12" t="str">
        <x:v>La saison morte</x:v>
      </x:c>
      <x:c r="C12" s="12" t="str">
        <x:v>Organique</x:v>
      </x:c>
      <x:c r="D12" s="12" t="str">
        <x:v>Présent</x:v>
      </x:c>
      <x:c r="E12" s="13" t="str">
        <x:v>Implémenté — QA partielle</x:v>
      </x:c>
      <x:c r="F12" s="16" t="n">
        <x:v>2</x:v>
      </x:c>
      <x:c r="G12" s="12" t="str">
        <x:v>Plante</x:v>
      </x:c>
      <x:c r="H12" s="12" t="str">
        <x:v>Les plantes en pot ont un feuillage vert.</x:v>
      </x:c>
      <x:c r="I12" s="12" t="str">
        <x:v>Un feuillage devient desséché et sombre dans une perception.</x:v>
      </x:c>
      <x:c r="J12" s="12" t="str">
        <x:v>La plante reste verte et intacte.</x:v>
      </x:c>
      <x:c r="K12" s="12" t="str">
        <x:v>Comparez la forme et la couleur des feuilles sans supposer un simple éclairage.</x:v>
      </x:c>
      <x:c r="L12" s="12" t="str">
        <x:v>À l’entrée du tour.</x:v>
      </x:c>
      <x:c r="M12" s="12" t="str">
        <x:v>La structure morte diffère de la référence.</x:v>
      </x:c>
      <x:c r="N12" s="12" t="str">
        <x:v>La détection ne repose pas uniquement sur une différence de teinte.</x:v>
      </x:c>
      <x:c r="O12" s="12" t="str">
        <x:v>Matériau et pose alternatifs du feuillage.</x:v>
      </x:c>
      <x:c r="P12" s="12" t="str">
        <x:v>plant_dead</x:v>
      </x:c>
      <x:c r="Q12" s="16" t="n">
        <x:v>2</x:v>
      </x:c>
      <x:c r="R12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2" s="18" t="str">
        <x:v>Oui</x:v>
      </x:c>
      <x:c r="T12" s="18" t="str">
        <x:v>—</x:v>
      </x:c>
      <x:c r="U12" s="18" t="str">
        <x:v>—</x:v>
      </x:c>
      <x:c r="V12" s="12" t="str">
        <x:v>Visuel / objet / espace</x:v>
      </x:c>
    </x:row>
    <x:row r="13" ht="77" customHeight="1">
      <x:c r="A13" s="11" t="str">
        <x:v>PX-008</x:v>
      </x:c>
      <x:c r="B13" s="11" t="str">
        <x:v>La croissance silencieuse</x:v>
      </x:c>
      <x:c r="C13" s="11" t="str">
        <x:v>Organique</x:v>
      </x:c>
      <x:c r="D13" s="11" t="str">
        <x:v>Présent</x:v>
      </x:c>
      <x:c r="E13" s="13" t="str">
        <x:v>Implémenté — QA partielle</x:v>
      </x:c>
      <x:c r="F13" s="17" t="n">
        <x:v>3</x:v>
      </x:c>
      <x:c r="G13" s="11" t="str">
        <x:v>Plante</x:v>
      </x:c>
      <x:c r="H13" s="11" t="str">
        <x:v>Les plantes restent nettement sous le plafond.</x:v>
      </x:c>
      <x:c r="I13" s="11" t="str">
        <x:v>Une plante prend une hauteur démesurée.</x:v>
      </x:c>
      <x:c r="J13" s="11" t="str">
        <x:v>La plante conserve sa taille.</x:v>
      </x:c>
      <x:c r="K13" s="11" t="str">
        <x:v>Utilisez le chambranle voisin comme repère commun de taille.</x:v>
      </x:c>
      <x:c r="L13" s="11" t="str">
        <x:v>Croissance lente ou hauteur anormale persistante.</x:v>
      </x:c>
      <x:c r="M13" s="11" t="str">
        <x:v>La différence d’échelle justifie un signalement.</x:v>
      </x:c>
      <x:c r="N13" s="11" t="str">
        <x:v>Le pot demeure au même endroit pour éviter une fausse lecture de perspective.</x:v>
      </x:c>
      <x:c r="O13" s="11" t="str">
        <x:v>Hiérarchie de feuillage redimensionnable.</x:v>
      </x:c>
      <x:c r="P13" s="11" t="str">
        <x:v>plant_tall</x:v>
      </x:c>
      <x:c r="Q13" s="17" t="n">
        <x:v>1</x:v>
      </x:c>
      <x:c r="R13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3" s="19" t="str">
        <x:v>Oui</x:v>
      </x:c>
      <x:c r="T13" s="19" t="str">
        <x:v>—</x:v>
      </x:c>
      <x:c r="U13" s="19" t="str">
        <x:v>—</x:v>
      </x:c>
      <x:c r="V13" s="11" t="str">
        <x:v>Visuel / objet / espace</x:v>
      </x:c>
    </x:row>
    <x:row r="14" ht="77" customHeight="1">
      <x:c r="A14" s="12" t="str">
        <x:v>PX-009</x:v>
      </x:c>
      <x:c r="B14" s="12" t="str">
        <x:v>Le bagage absent</x:v>
      </x:c>
      <x:c r="C14" s="12" t="str">
        <x:v>Absence</x:v>
      </x:c>
      <x:c r="D14" s="12" t="str">
        <x:v>Présent</x:v>
      </x:c>
      <x:c r="E14" s="13" t="str">
        <x:v>Implémenté — QA partielle</x:v>
      </x:c>
      <x:c r="F14" s="16" t="n">
        <x:v>1</x:v>
      </x:c>
      <x:c r="G14" s="12" t="str">
        <x:v>Chariot</x:v>
      </x:c>
      <x:c r="H14" s="12" t="str">
        <x:v>Un chariot à bagages et sa valise occupent le couloir.</x:v>
      </x:c>
      <x:c r="I14" s="12" t="str">
        <x:v>Le chariot et son chargement disparaissent de la vue du témoin.</x:v>
      </x:c>
      <x:c r="J14" s="12" t="str">
        <x:v>Le chariot est toujours là.</x:v>
      </x:c>
      <x:c r="K14" s="12" t="str">
        <x:v>Comparez l’espace devant le mur où devrait se trouver le chariot.</x:v>
      </x:c>
      <x:c r="L14" s="12" t="str">
        <x:v>À l’entrée du tour.</x:v>
      </x:c>
      <x:c r="M14" s="12" t="str">
        <x:v>Un objet de référence absent constitue une anomalie.</x:v>
      </x:c>
      <x:c r="N14" s="12" t="str">
        <x:v>Aucune collision invisible bloquante à l’emplacement vide.</x:v>
      </x:c>
      <x:c r="O14" s="12" t="str">
        <x:v>Groupe de chariot masqué.</x:v>
      </x:c>
      <x:c r="P14" s="12" t="str">
        <x:v>trolley_missing</x:v>
      </x:c>
      <x:c r="Q14" s="16" t="n">
        <x:v>2</x:v>
      </x:c>
      <x:c r="R14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4" s="18" t="str">
        <x:v>Oui</x:v>
      </x:c>
      <x:c r="T14" s="18" t="str">
        <x:v>—</x:v>
      </x:c>
      <x:c r="U14" s="18" t="str">
        <x:v>—</x:v>
      </x:c>
      <x:c r="V14" s="12" t="str">
        <x:v>Visuel / objet / espace</x:v>
      </x:c>
    </x:row>
    <x:row r="15" ht="77" customHeight="1">
      <x:c r="A15" s="11" t="str">
        <x:v>PX-010</x:v>
      </x:c>
      <x:c r="B15" s="11" t="str">
        <x:v>Le service rouge</x:v>
      </x:c>
      <x:c r="C15" s="11" t="str">
        <x:v>Lumière</x:v>
      </x:c>
      <x:c r="D15" s="11" t="str">
        <x:v>Présent</x:v>
      </x:c>
      <x:c r="E15" s="13" t="str">
        <x:v>Implémenté — QA partielle</x:v>
      </x:c>
      <x:c r="F15" s="17" t="n">
        <x:v>3</x:v>
      </x:c>
      <x:c r="G15" s="11" t="str">
        <x:v>Applique</x:v>
      </x:c>
      <x:c r="H15" s="11" t="str">
        <x:v>Les appliques diffusent une lumière chaude, avec des accents froids.</x:v>
      </x:c>
      <x:c r="I15" s="11" t="str">
        <x:v>Une lumière rouge étrangère envahit le passage pour le témoin.</x:v>
      </x:c>
      <x:c r="J15" s="11" t="str">
        <x:v>L’éclairage demeure normal.</x:v>
      </x:c>
      <x:c r="K15" s="11" t="str">
        <x:v>Comparez la teinte des murs et la source lumineuse, pas la luminosité de l’écran.</x:v>
      </x:c>
      <x:c r="L15" s="11" t="str">
        <x:v>À l’entrée du tour.</x:v>
      </x:c>
      <x:c r="M15" s="11" t="str">
        <x:v>La source et la lumière changées confirment l’anomalie.</x:v>
      </x:c>
      <x:c r="N15" s="11" t="str">
        <x:v>Prévoir un indice de forme ou d’intensité en plus de la couleur.</x:v>
      </x:c>
      <x:c r="O15" s="11" t="str">
        <x:v>Émissif et lumière locale alternatifs.</x:v>
      </x:c>
      <x:c r="P15" s="11" t="str">
        <x:v>red_light</x:v>
      </x:c>
      <x:c r="Q15" s="17" t="n">
        <x:v>1</x:v>
      </x:c>
      <x:c r="R15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5" s="19" t="str">
        <x:v>Oui</x:v>
      </x:c>
      <x:c r="T15" s="19" t="str">
        <x:v>Oui</x:v>
      </x:c>
      <x:c r="U15" s="19" t="str">
        <x:v>Oui</x:v>
      </x:c>
      <x:c r="V15" s="11" t="str">
        <x:v>Visuel / objet / espace</x:v>
      </x:c>
    </x:row>
    <x:row r="16" ht="77" customHeight="1">
      <x:c r="A16" s="12" t="str">
        <x:v>PX-011</x:v>
      </x:c>
      <x:c r="B16" s="12" t="str">
        <x:v>Votre nuit seulement</x:v>
      </x:c>
      <x:c r="C16" s="12" t="str">
        <x:v>Lumière</x:v>
      </x:c>
      <x:c r="D16" s="12" t="str">
        <x:v>Présent</x:v>
      </x:c>
      <x:c r="E16" s="13" t="str">
        <x:v>Implémenté — QA partielle</x:v>
      </x:c>
      <x:c r="F16" s="16" t="n">
        <x:v>4</x:v>
      </x:c>
      <x:c r="G16" s="12" t="str">
        <x:v>Couloir</x:v>
      </x:c>
      <x:c r="H16" s="12" t="str">
        <x:v>Le couloir est continuellement éclairé.</x:v>
      </x:c>
      <x:c r="I16" s="12" t="str">
        <x:v>Les lumières principales s’éteignent dans une seule perception.</x:v>
      </x:c>
      <x:c r="J16" s="12" t="str">
        <x:v>Le couloir reste éclairé.</x:v>
      </x:c>
      <x:c r="K16" s="12" t="str">
        <x:v>Le partenaire qui voit peut guider celui qui est dans le noir.</x:v>
      </x:c>
      <x:c r="L16" s="12" t="str">
        <x:v>Extinction persistante, sans stroboscope.</x:v>
      </x:c>
      <x:c r="M16" s="12" t="str">
        <x:v>La perte d’éclairage est un signal valide.</x:v>
      </x:c>
      <x:c r="N16" s="12" t="str">
        <x:v>La lampe personnelle et l’issue de vote restent utilisables.</x:v>
      </x:c>
      <x:c r="O16" s="12" t="str">
        <x:v>Intensité des sources et flashlight.</x:v>
      </x:c>
      <x:c r="P16" s="12" t="str">
        <x:v>blackout</x:v>
      </x:c>
      <x:c r="Q16" s="16" t="n">
        <x:v>1</x:v>
      </x:c>
      <x:c r="R16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6" s="18" t="str">
        <x:v>Oui</x:v>
      </x:c>
      <x:c r="T16" s="18" t="str">
        <x:v>Oui</x:v>
      </x:c>
      <x:c r="U16" s="18" t="str">
        <x:v>Oui</x:v>
      </x:c>
      <x:c r="V16" s="12" t="str">
        <x:v>Visuel / objet / espace</x:v>
      </x:c>
    </x:row>
    <x:row r="17" ht="77" customHeight="1">
      <x:c r="A17" s="11" t="str">
        <x:v>PX-012</x:v>
      </x:c>
      <x:c r="B17" s="11" t="str">
        <x:v>Le troisième inspecteur</x:v>
      </x:c>
      <x:c r="C17" s="11" t="str">
        <x:v>Entité</x:v>
      </x:c>
      <x:c r="D17" s="11" t="str">
        <x:v>Présent</x:v>
      </x:c>
      <x:c r="E17" s="13" t="str">
        <x:v>Implémenté — QA partielle</x:v>
      </x:c>
      <x:c r="F17" s="17" t="n">
        <x:v>5</x:v>
      </x:c>
      <x:c r="G17" s="11" t="str">
        <x:v>Fond du couloir</x:v>
      </x:c>
      <x:c r="H17" s="11" t="str">
        <x:v>Personne n’attend seul au fond du couloir.</x:v>
      </x:c>
      <x:c r="I17" s="11" t="str">
        <x:v>Une silhouette immobile se tient au fond du passage.</x:v>
      </x:c>
      <x:c r="J17" s="11" t="str">
        <x:v>Aucun occupant n’est présent.</x:v>
      </x:c>
      <x:c r="K17" s="11" t="str">
        <x:v>Le témoin décrit sa position ; le partenaire confirme l’absence de personne au même endroit.</x:v>
      </x:c>
      <x:c r="L17" s="11" t="str">
        <x:v>Présence lente et persistante.</x:v>
      </x:c>
      <x:c r="M17" s="11" t="str">
        <x:v>L’entité peut être signalée depuis une distance sûre.</x:v>
      </x:c>
      <x:c r="N17" s="11" t="str">
        <x:v>Pas de nécessité de se faire toucher pour prouver son existence.</x:v>
      </x:c>
      <x:c r="O17" s="11" t="str">
        <x:v>Silhouette détaillée, matériau sombre, animation lente.</x:v>
      </x:c>
      <x:c r="P17" s="11" t="str">
        <x:v>shadow_figure</x:v>
      </x:c>
      <x:c r="Q17" s="17" t="n">
        <x:v>1</x:v>
      </x:c>
      <x:c r="R1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7" s="19" t="str">
        <x:v>Oui</x:v>
      </x:c>
      <x:c r="T17" s="19" t="str">
        <x:v>Oui</x:v>
      </x:c>
      <x:c r="U17" s="19" t="str">
        <x:v>Oui</x:v>
      </x:c>
      <x:c r="V17" s="11" t="str">
        <x:v>Visuel / objet / espace</x:v>
      </x:c>
    </x:row>
    <x:row r="18" ht="77" customHeight="1">
      <x:c r="A18" s="12" t="str">
        <x:v>PX-013</x:v>
      </x:c>
      <x:c r="B18" s="12" t="str">
        <x:v>Au-dessus de vous</x:v>
      </x:c>
      <x:c r="C18" s="12" t="str">
        <x:v>Entité</x:v>
      </x:c>
      <x:c r="D18" s="12" t="str">
        <x:v>Présent</x:v>
      </x:c>
      <x:c r="E18" s="13" t="str">
        <x:v>Implémenté — QA partielle</x:v>
      </x:c>
      <x:c r="F18" s="16" t="n">
        <x:v>5</x:v>
      </x:c>
      <x:c r="G18" s="12" t="str">
        <x:v>Plafond</x:v>
      </x:c>
      <x:c r="H18" s="12" t="str">
        <x:v>Le plafond ne porte ni visage ni yeux.</x:v>
      </x:c>
      <x:c r="I18" s="12" t="str">
        <x:v>Des yeux irréels apparaissent au plafond.</x:v>
      </x:c>
      <x:c r="J18" s="12" t="str">
        <x:v>Le plafond est vide.</x:v>
      </x:c>
      <x:c r="K18" s="12" t="str">
        <x:v>Les deux inspecteurs doivent explicitement comparer le plafond.</x:v>
      </x:c>
      <x:c r="L18" s="12" t="str">
        <x:v>Persistant pendant l’inspection.</x:v>
      </x:c>
      <x:c r="M18" s="12" t="str">
        <x:v>L’organe ajouté est une anomalie.</x:v>
      </x:c>
      <x:c r="N18" s="12" t="str">
        <x:v>Inclinaison maximale de caméra suffisante, y compris sur écran tactile.</x:v>
      </x:c>
      <x:c r="O18" s="12" t="str">
        <x:v>Paires d’yeux en volume et matériau humide.</x:v>
      </x:c>
      <x:c r="P18" s="12" t="str">
        <x:v>ceiling_eyes</x:v>
      </x:c>
      <x:c r="Q18" s="16" t="n">
        <x:v>2</x:v>
      </x:c>
      <x:c r="R18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8" s="18" t="str">
        <x:v>Oui</x:v>
      </x:c>
      <x:c r="T18" s="18" t="str">
        <x:v>Oui</x:v>
      </x:c>
      <x:c r="U18" s="18" t="str">
        <x:v>Oui</x:v>
      </x:c>
      <x:c r="V18" s="12" t="str">
        <x:v>Visuel / objet / espace</x:v>
      </x:c>
    </x:row>
    <x:row r="19" ht="77" customHeight="1">
      <x:c r="A19" s="11" t="str">
        <x:v>PX-014</x:v>
      </x:c>
      <x:c r="B19" s="11" t="str">
        <x:v>Le passage humide</x:v>
      </x:c>
      <x:c r="C19" s="11" t="str">
        <x:v>Trace</x:v>
      </x:c>
      <x:c r="D19" s="11" t="str">
        <x:v>Présent</x:v>
      </x:c>
      <x:c r="E19" s="13" t="str">
        <x:v>Implémenté — QA partielle</x:v>
      </x:c>
      <x:c r="F19" s="17" t="n">
        <x:v>3</x:v>
      </x:c>
      <x:c r="G19" s="11" t="str">
        <x:v>Sol</x:v>
      </x:c>
      <x:c r="H19" s="11" t="str">
        <x:v>Le sol ne comporte pas de trace traversant le passage.</x:v>
      </x:c>
      <x:c r="I19" s="11" t="str">
        <x:v>Une traînée sombre court sur le sol.</x:v>
      </x:c>
      <x:c r="J19" s="11" t="str">
        <x:v>Le revêtement demeure intact.</x:v>
      </x:c>
      <x:c r="K19" s="11" t="str">
        <x:v>Décrivez son point de départ et son trajet, pas seulement sa couleur.</x:v>
      </x:c>
      <x:c r="L19" s="11" t="str">
        <x:v>À l’entrée du tour.</x:v>
      </x:c>
      <x:c r="M19" s="11" t="str">
        <x:v>La trace ne figure pas dans le passage de référence.</x:v>
      </x:c>
      <x:c r="N19" s="11" t="str">
        <x:v>Contraste et largeur restent lisibles en qualité basse.</x:v>
      </x:c>
      <x:c r="O19" s="11" t="str">
        <x:v>Décalque procédural non gore.</x:v>
      </x:c>
      <x:c r="P19" s="11" t="str">
        <x:v>floor_trail</x:v>
      </x:c>
      <x:c r="Q19" s="17" t="n">
        <x:v>2</x:v>
      </x:c>
      <x:c r="R19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19" s="19" t="str">
        <x:v>Oui</x:v>
      </x:c>
      <x:c r="T19" s="19" t="str">
        <x:v>Oui</x:v>
      </x:c>
      <x:c r="U19" s="19" t="str">
        <x:v>Oui</x:v>
      </x:c>
      <x:c r="V19" s="11" t="str">
        <x:v>Visuel / objet / espace</x:v>
      </x:c>
    </x:row>
    <x:row r="20" ht="77" customHeight="1">
      <x:c r="A20" s="12" t="str">
        <x:v>PX-015</x:v>
      </x:c>
      <x:c r="B20" s="12" t="str">
        <x:v>L’issue mensongère</x:v>
      </x:c>
      <x:c r="C20" s="12" t="str">
        <x:v>Signalétique</x:v>
      </x:c>
      <x:c r="D20" s="12" t="str">
        <x:v>Présent</x:v>
      </x:c>
      <x:c r="E20" s="13" t="str">
        <x:v>Implémenté — QA partielle</x:v>
      </x:c>
      <x:c r="F20" s="16" t="n">
        <x:v>3</x:v>
      </x:c>
      <x:c r="G20" s="12" t="str">
        <x:v>Issue</x:v>
      </x:c>
      <x:c r="H20" s="12" t="str">
        <x:v>Le panneau de sortie indique une issue cohérente.</x:v>
      </x:c>
      <x:c r="I20" s="12" t="str">
        <x:v>Le panneau d’issue affiche un avertissement ou une destination impossible.</x:v>
      </x:c>
      <x:c r="J20" s="12" t="str">
        <x:v>La signalétique de référence demeure correcte.</x:v>
      </x:c>
      <x:c r="K20" s="12" t="str">
        <x:v>Lisez exactement le panneau chacun de votre côté.</x:v>
      </x:c>
      <x:c r="L20" s="12" t="str">
        <x:v>À l’entrée du tour.</x:v>
      </x:c>
      <x:c r="M20" s="12" t="str">
        <x:v>Le changement de sens ou de texte vaut anomalie.</x:v>
      </x:c>
      <x:c r="N20" s="12" t="str">
        <x:v>La véritable action de vote n’est jamais déplacée ou remplacée.</x:v>
      </x:c>
      <x:c r="O20" s="12" t="str">
        <x:v>Panneau et texture typographique alternatifs.</x:v>
      </x:c>
      <x:c r="P20" s="12" t="str">
        <x:v>exit_false</x:v>
      </x:c>
      <x:c r="Q20" s="16" t="n">
        <x:v>2</x:v>
      </x:c>
      <x:c r="R20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0" s="18" t="str">
        <x:v>Oui</x:v>
      </x:c>
      <x:c r="T20" s="18" t="str">
        <x:v>Oui</x:v>
      </x:c>
      <x:c r="U20" s="18" t="str">
        <x:v>Oui</x:v>
      </x:c>
      <x:c r="V20" s="12" t="str">
        <x:v>Visuel / objet / espace</x:v>
      </x:c>
    </x:row>
    <x:row r="21" ht="77" customHeight="1">
      <x:c r="A21" s="11" t="str">
        <x:v>PX-016</x:v>
      </x:c>
      <x:c r="B21" s="11" t="str">
        <x:v>Sans appui</x:v>
      </x:c>
      <x:c r="C21" s="11" t="str">
        <x:v>Physique</x:v>
      </x:c>
      <x:c r="D21" s="11" t="str">
        <x:v>Présent</x:v>
      </x:c>
      <x:c r="E21" s="13" t="str">
        <x:v>Implémenté — QA partielle</x:v>
      </x:c>
      <x:c r="F21" s="17" t="n">
        <x:v>3</x:v>
      </x:c>
      <x:c r="G21" s="11" t="str">
        <x:v>Fauteuil</x:v>
      </x:c>
      <x:c r="H21" s="11" t="str">
        <x:v>Le fauteuil repose sur le sol.</x:v>
      </x:c>
      <x:c r="I21" s="11" t="str">
        <x:v>Le fauteuil flotte au-dessus du sol.</x:v>
      </x:c>
      <x:c r="J21" s="11" t="str">
        <x:v>Il repose normalement au sol.</x:v>
      </x:c>
      <x:c r="K21" s="11" t="str">
        <x:v>Comparez le contact des pieds avec le sol.</x:v>
      </x:c>
      <x:c r="L21" s="11" t="str">
        <x:v>Oscillation lente persistante.</x:v>
      </x:c>
      <x:c r="M21" s="11" t="str">
        <x:v>Une suspension impossible justifie l’alerte.</x:v>
      </x:c>
      <x:c r="N21" s="11" t="str">
        <x:v>L’objet ne bloque pas le passage et ne peut pas pousser le joueur.</x:v>
      </x:c>
      <x:c r="O21" s="11" t="str">
        <x:v>Fauteuil, animation verticale, ombre.</x:v>
      </x:c>
      <x:c r="P21" s="11" t="str">
        <x:v>chair_float</x:v>
      </x:c>
      <x:c r="Q21" s="17" t="n">
        <x:v>1</x:v>
      </x:c>
      <x:c r="R21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1" s="19" t="str">
        <x:v>Oui</x:v>
      </x:c>
      <x:c r="T21" s="19" t="str">
        <x:v>—</x:v>
      </x:c>
      <x:c r="U21" s="19" t="str">
        <x:v>—</x:v>
      </x:c>
      <x:c r="V21" s="11" t="str">
        <x:v>Visuel / objet / espace</x:v>
      </x:c>
    </x:row>
    <x:row r="22" ht="77" customHeight="1">
      <x:c r="A22" s="12" t="str">
        <x:v>PX-017</x:v>
      </x:c>
      <x:c r="B22" s="12" t="str">
        <x:v>L’autre côté</x:v>
      </x:c>
      <x:c r="C22" s="12" t="str">
        <x:v>Reflet</x:v>
      </x:c>
      <x:c r="D22" s="12" t="str">
        <x:v>Présent</x:v>
      </x:c>
      <x:c r="E22" s="13" t="str">
        <x:v>Implémenté — QA partielle</x:v>
      </x:c>
      <x:c r="F22" s="16" t="n">
        <x:v>5</x:v>
      </x:c>
      <x:c r="G22" s="12" t="str">
        <x:v>Miroir</x:v>
      </x:c>
      <x:c r="H22" s="12" t="str">
        <x:v>Le panneau du miroir ne contient aucune présence indépendante.</x:v>
      </x:c>
      <x:c r="I22" s="12" t="str">
        <x:v>Une présence étrangère apparaît dans le miroir.</x:v>
      </x:c>
      <x:c r="J22" s="12" t="str">
        <x:v>Le miroir est normal.</x:v>
      </x:c>
      <x:c r="K22" s="12" t="str">
        <x:v>Le partenaire regarde simultanément le miroir et son environnement.</x:v>
      </x:c>
      <x:c r="L22" s="12" t="str">
        <x:v>Présence persistante ou lente.</x:v>
      </x:c>
      <x:c r="M22" s="12" t="str">
        <x:v>La présence absente du monde partagé est anormale.</x:v>
      </x:c>
      <x:c r="N22" s="12" t="str">
        <x:v>Le reflet simulé est un effet visuel, pas une promesse de ray tracing.</x:v>
      </x:c>
      <x:c r="O22" s="12" t="str">
        <x:v>Surface de miroir stylisée et silhouette locale.</x:v>
      </x:c>
      <x:c r="P22" s="12" t="str">
        <x:v>mirror_stranger</x:v>
      </x:c>
      <x:c r="Q22" s="16" t="n">
        <x:v>2</x:v>
      </x:c>
      <x:c r="R22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2" s="18" t="str">
        <x:v>Oui</x:v>
      </x:c>
      <x:c r="T22" s="18" t="str">
        <x:v>—</x:v>
      </x:c>
      <x:c r="U22" s="18" t="str">
        <x:v>—</x:v>
      </x:c>
      <x:c r="V22" s="12" t="str">
        <x:v>Visuel / objet / espace</x:v>
      </x:c>
    </x:row>
    <x:row r="23" ht="77" customHeight="1">
      <x:c r="A23" s="11" t="str">
        <x:v>PX-018</x:v>
      </x:c>
      <x:c r="B23" s="11" t="str">
        <x:v>Un appel suspendu</x:v>
      </x:c>
      <x:c r="C23" s="11" t="str">
        <x:v>Physique</x:v>
      </x:c>
      <x:c r="D23" s="11" t="str">
        <x:v>Présent</x:v>
      </x:c>
      <x:c r="E23" s="13" t="str">
        <x:v>Implémenté — QA partielle</x:v>
      </x:c>
      <x:c r="F23" s="17" t="n">
        <x:v>3</x:v>
      </x:c>
      <x:c r="G23" s="11" t="str">
        <x:v>Téléphone</x:v>
      </x:c>
      <x:c r="H23" s="11" t="str">
        <x:v>Le téléphone repose sur son support.</x:v>
      </x:c>
      <x:c r="I23" s="11" t="str">
        <x:v>Le téléphone quitte son support et flotte.</x:v>
      </x:c>
      <x:c r="J23" s="11" t="str">
        <x:v>Il est posé normalement.</x:v>
      </x:c>
      <x:c r="K23" s="11" t="str">
        <x:v>Comparez la position du combiné au meuble.</x:v>
      </x:c>
      <x:c r="L23" s="11" t="str">
        <x:v>Lévitation lente persistante.</x:v>
      </x:c>
      <x:c r="M23" s="11" t="str">
        <x:v>Le mouvement impossible constitue l’anomalie.</x:v>
      </x:c>
      <x:c r="N23" s="11" t="str">
        <x:v>L’effet visuel suffit lorsque l’audio est coupé.</x:v>
      </x:c>
      <x:c r="O23" s="11" t="str">
        <x:v>Téléphone et pivot d’animation.</x:v>
      </x:c>
      <x:c r="P23" s="11" t="str">
        <x:v>phone_float</x:v>
      </x:c>
      <x:c r="Q23" s="17" t="n">
        <x:v>1</x:v>
      </x:c>
      <x:c r="R23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3" s="19" t="str">
        <x:v>Oui</x:v>
      </x:c>
      <x:c r="T23" s="19" t="str">
        <x:v>—</x:v>
      </x:c>
      <x:c r="U23" s="19" t="str">
        <x:v>—</x:v>
      </x:c>
      <x:c r="V23" s="11" t="str">
        <x:v>Visuel / objet / espace</x:v>
      </x:c>
    </x:row>
    <x:row r="24" ht="77" customHeight="1">
      <x:c r="A24" s="12" t="str">
        <x:v>PX-019</x:v>
      </x:c>
      <x:c r="B24" s="12" t="str">
        <x:v>Quelqu’un sous la pluie</x:v>
      </x:c>
      <x:c r="C24" s="12" t="str">
        <x:v>Entité</x:v>
      </x:c>
      <x:c r="D24" s="12" t="str">
        <x:v>Présent</x:v>
      </x:c>
      <x:c r="E24" s="13" t="str">
        <x:v>Implémenté — QA partielle</x:v>
      </x:c>
      <x:c r="F24" s="16" t="n">
        <x:v>5</x:v>
      </x:c>
      <x:c r="G24" s="12" t="str">
        <x:v>Fenêtre</x:v>
      </x:c>
      <x:c r="H24" s="12" t="str">
        <x:v>La vitre donne sur la pluie ; aucune silhouette n’y attend.</x:v>
      </x:c>
      <x:c r="I24" s="12" t="str">
        <x:v>Une silhouette observe le couloir depuis l’autre côté de la vitre.</x:v>
      </x:c>
      <x:c r="J24" s="12" t="str">
        <x:v>L’extérieur est vide.</x:v>
      </x:c>
      <x:c r="K24" s="12" t="str">
        <x:v>Le témoin décrit l’encadrement puis la présence afin de fixer un repère commun.</x:v>
      </x:c>
      <x:c r="L24" s="12" t="str">
        <x:v>Persistant à la fenêtre.</x:v>
      </x:c>
      <x:c r="M24" s="12" t="str">
        <x:v>L’observateur est absent de la référence.</x:v>
      </x:c>
      <x:c r="N24" s="12" t="str">
        <x:v>L’entité reste à distance et ne demande aucun sursaut subi.</x:v>
      </x:c>
      <x:c r="O24" s="12" t="str">
        <x:v>Vitre, visage ou silhouette extérieure.</x:v>
      </x:c>
      <x:c r="P24" s="12" t="str">
        <x:v>window_watcher</x:v>
      </x:c>
      <x:c r="Q24" s="16" t="n">
        <x:v>2</x:v>
      </x:c>
      <x:c r="R24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4" s="18" t="str">
        <x:v>Oui</x:v>
      </x:c>
      <x:c r="T24" s="18" t="str">
        <x:v>—</x:v>
      </x:c>
      <x:c r="U24" s="18" t="str">
        <x:v>—</x:v>
      </x:c>
      <x:c r="V24" s="12" t="str">
        <x:v>Visuel / objet / espace</x:v>
      </x:c>
    </x:row>
    <x:row r="25" ht="77" customHeight="1">
      <x:c r="A25" s="11" t="str">
        <x:v>PX-020</x:v>
      </x:c>
      <x:c r="B25" s="11" t="str">
        <x:v>Ne les crois pas</x:v>
      </x:c>
      <x:c r="C25" s="11" t="str">
        <x:v>Texte</x:v>
      </x:c>
      <x:c r="D25" s="11" t="str">
        <x:v>Présent</x:v>
      </x:c>
      <x:c r="E25" s="13" t="str">
        <x:v>Implémenté — QA partielle</x:v>
      </x:c>
      <x:c r="F25" s="17" t="n">
        <x:v>4</x:v>
      </x:c>
      <x:c r="G25" s="11" t="str">
        <x:v>Mur</x:v>
      </x:c>
      <x:c r="H25" s="11" t="str">
        <x:v>Les murs ne portent aucune inscription manuscrite.</x:v>
      </x:c>
      <x:c r="I25" s="11" t="str">
        <x:v>Un message inquiétant apparaît sur le mur.</x:v>
      </x:c>
      <x:c r="J25" s="11" t="str">
        <x:v>Le panneau reste vierge.</x:v>
      </x:c>
      <x:c r="K25" s="11" t="str">
        <x:v>Le message cherche à semer le doute ; comparez les faits visibles avant de voter.</x:v>
      </x:c>
      <x:c r="L25" s="11" t="str">
        <x:v>À l’entrée du tour.</x:v>
      </x:c>
      <x:c r="M25" s="11" t="str">
        <x:v>Toute inscription nouvelle est anormale, même si elle prétend aider.</x:v>
      </x:c>
      <x:c r="N25" s="11" t="str">
        <x:v>Le message ne remplace jamais les règles de l’interface.</x:v>
      </x:c>
      <x:c r="O25" s="11" t="str">
        <x:v>Texture de message original.</x:v>
      </x:c>
      <x:c r="P25" s="11" t="str">
        <x:v>wall_message</x:v>
      </x:c>
      <x:c r="Q25" s="17" t="n">
        <x:v>1</x:v>
      </x:c>
      <x:c r="R25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5" s="19" t="str">
        <x:v>Oui</x:v>
      </x:c>
      <x:c r="T25" s="19" t="str">
        <x:v>—</x:v>
      </x:c>
      <x:c r="U25" s="19" t="str">
        <x:v>—</x:v>
      </x:c>
      <x:c r="V25" s="11" t="str">
        <x:v>Visuel / objet / espace</x:v>
      </x:c>
    </x:row>
    <x:row r="26" ht="77" customHeight="1">
      <x:c r="A26" s="12" t="str">
        <x:v>PX-021</x:v>
      </x:c>
      <x:c r="B26" s="12" t="str">
        <x:v>La brume intérieure</x:v>
      </x:c>
      <x:c r="C26" s="12" t="str">
        <x:v>Atmosphère</x:v>
      </x:c>
      <x:c r="D26" s="12" t="str">
        <x:v>Présent</x:v>
      </x:c>
      <x:c r="E26" s="13" t="str">
        <x:v>Implémenté — QA partielle</x:v>
      </x:c>
      <x:c r="F26" s="16" t="n">
        <x:v>3</x:v>
      </x:c>
      <x:c r="G26" s="12" t="str">
        <x:v>Couloir</x:v>
      </x:c>
      <x:c r="H26" s="12" t="str">
        <x:v>L’air intérieur reste clair et les repères lointains sont lisibles.</x:v>
      </x:c>
      <x:c r="I26" s="12" t="str">
        <x:v>Une brume épaisse réduit la visibilité dans une seule perception.</x:v>
      </x:c>
      <x:c r="J26" s="12" t="str">
        <x:v>L’air reste clair.</x:v>
      </x:c>
      <x:c r="K26" s="12" t="str">
        <x:v>Le joueur qui voit les repères guide celui dont la vue est obstruée.</x:v>
      </x:c>
      <x:c r="L26" s="12" t="str">
        <x:v>Montée lente de la brume.</x:v>
      </x:c>
      <x:c r="M26" s="12" t="str">
        <x:v>La perte locale de visibilité constitue l’anomalie.</x:v>
      </x:c>
      <x:c r="N26" s="12" t="str">
        <x:v>Conserver assez de visibilité pour marcher jusqu’au vote.</x:v>
      </x:c>
      <x:c r="O26" s="12" t="str">
        <x:v>Brouillard local et particules.</x:v>
      </x:c>
      <x:c r="P26" s="12" t="str">
        <x:v>corridor_fog</x:v>
      </x:c>
      <x:c r="Q26" s="16" t="n">
        <x:v>1</x:v>
      </x:c>
      <x:c r="R26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6" s="18" t="str">
        <x:v>Oui</x:v>
      </x:c>
      <x:c r="T26" s="18" t="str">
        <x:v>Oui</x:v>
      </x:c>
      <x:c r="U26" s="18" t="str">
        <x:v>Oui</x:v>
      </x:c>
      <x:c r="V26" s="12" t="str">
        <x:v>Visuel / objet / espace</x:v>
      </x:c>
    </x:row>
    <x:row r="27" ht="77" customHeight="1">
      <x:c r="A27" s="11" t="str">
        <x:v>PX-022</x:v>
      </x:c>
      <x:c r="B27" s="11" t="str">
        <x:v>Une place de plus</x:v>
      </x:c>
      <x:c r="C27" s="11" t="str">
        <x:v>Duplication</x:v>
      </x:c>
      <x:c r="D27" s="11" t="str">
        <x:v>Présent</x:v>
      </x:c>
      <x:c r="E27" s="13" t="str">
        <x:v>Implémenté — QA partielle</x:v>
      </x:c>
      <x:c r="F27" s="17" t="n">
        <x:v>2</x:v>
      </x:c>
      <x:c r="G27" s="11" t="str">
        <x:v>Salon</x:v>
      </x:c>
      <x:c r="H27" s="11" t="str">
        <x:v>Le nombre et la disposition des sièges sont ceux du passage de référence.</x:v>
      </x:c>
      <x:c r="I27" s="11" t="str">
        <x:v>Un fauteuil supplémentaire apparaît.</x:v>
      </x:c>
      <x:c r="J27" s="11" t="str">
        <x:v>Le nombre de sièges est normal.</x:v>
      </x:c>
      <x:c r="K27" s="11" t="str">
        <x:v>Comptez et positionnez les sièges, sans vous limiter à leur apparence.</x:v>
      </x:c>
      <x:c r="L27" s="11" t="str">
        <x:v>À l’entrée du tour.</x:v>
      </x:c>
      <x:c r="M27" s="11" t="str">
        <x:v>Un meuble dupliqué est une anomalie.</x:v>
      </x:c>
      <x:c r="N27" s="11" t="str">
        <x:v>Le meuble ajouté ne recouvre aucun objet indispensable.</x:v>
      </x:c>
      <x:c r="O27" s="11" t="str">
        <x:v>Instance supplémentaire du fauteuil.</x:v>
      </x:c>
      <x:c r="P27" s="11" t="str">
        <x:v>duplicate_chair</x:v>
      </x:c>
      <x:c r="Q27" s="17" t="n">
        <x:v>2</x:v>
      </x:c>
      <x:c r="R2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7" s="19" t="str">
        <x:v>Oui</x:v>
      </x:c>
      <x:c r="T27" s="19" t="str">
        <x:v>—</x:v>
      </x:c>
      <x:c r="U27" s="19" t="str">
        <x:v>—</x:v>
      </x:c>
      <x:c r="V27" s="11" t="str">
        <x:v>Visuel / objet / espace</x:v>
      </x:c>
    </x:row>
    <x:row r="28" ht="77" customHeight="1">
      <x:c r="A28" s="12" t="str">
        <x:v>PX-023</x:v>
      </x:c>
      <x:c r="B28" s="12" t="str">
        <x:v>La main rouille</x:v>
      </x:c>
      <x:c r="C28" s="12" t="str">
        <x:v>Trace</x:v>
      </x:c>
      <x:c r="D28" s="12" t="str">
        <x:v>Présent</x:v>
      </x:c>
      <x:c r="E28" s="13" t="str">
        <x:v>Implémenté — QA partielle</x:v>
      </x:c>
      <x:c r="F28" s="16" t="n">
        <x:v>4</x:v>
      </x:c>
      <x:c r="G28" s="12" t="str">
        <x:v>Porte</x:v>
      </x:c>
      <x:c r="H28" s="12" t="str">
        <x:v>Aucune empreinte rouge sombre ne marque la porte.</x:v>
      </x:c>
      <x:c r="I28" s="12" t="str">
        <x:v>Une empreinte de main couleur rouille apparaît ; aucune violence n’est représentée.</x:v>
      </x:c>
      <x:c r="J28" s="12" t="str">
        <x:v>Aucune empreinte n’est visible.</x:v>
      </x:c>
      <x:c r="K28" s="12" t="str">
        <x:v>Décrivez la hauteur et le côté de la marque sur la porte.</x:v>
      </x:c>
      <x:c r="L28" s="12" t="str">
        <x:v>À l’entrée du tour.</x:v>
      </x:c>
      <x:c r="M28" s="12" t="str">
        <x:v>La trace ajoutée suffit à confirmer.</x:v>
      </x:c>
      <x:c r="N28" s="12" t="str">
        <x:v>Aucune mutilation. Variante d’encre prévue pour option de confort.</x:v>
      </x:c>
      <x:c r="O28" s="12" t="str">
        <x:v>Décalque de main non graphique.</x:v>
      </x:c>
      <x:c r="P28" s="12" t="str">
        <x:v>blood_handprint</x:v>
      </x:c>
      <x:c r="Q28" s="16" t="n">
        <x:v>2</x:v>
      </x:c>
      <x:c r="R28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8" s="18" t="str">
        <x:v>Oui</x:v>
      </x:c>
      <x:c r="T28" s="18" t="str">
        <x:v>—</x:v>
      </x:c>
      <x:c r="U28" s="18" t="str">
        <x:v>—</x:v>
      </x:c>
      <x:c r="V28" s="12" t="str">
        <x:v>Visuel / objet / espace</x:v>
      </x:c>
    </x:row>
    <x:row r="29" ht="77" customHeight="1">
      <x:c r="A29" s="11" t="str">
        <x:v>PX-024</x:v>
      </x:c>
      <x:c r="B29" s="11" t="str">
        <x:v>Le miroir éteint</x:v>
      </x:c>
      <x:c r="C29" s="11" t="str">
        <x:v>Reflet</x:v>
      </x:c>
      <x:c r="D29" s="11" t="str">
        <x:v>Présent</x:v>
      </x:c>
      <x:c r="E29" s="13" t="str">
        <x:v>Implémenté — QA partielle</x:v>
      </x:c>
      <x:c r="F29" s="17" t="n">
        <x:v>3</x:v>
      </x:c>
      <x:c r="G29" s="11" t="str">
        <x:v>Miroir</x:v>
      </x:c>
      <x:c r="H29" s="11" t="str">
        <x:v>Le miroir présente une surface claire qui reflète le décor et les inspecteurs.</x:v>
      </x:c>
      <x:c r="I29" s="11" t="str">
        <x:v>La surface du miroir devient opaque et noire.</x:v>
      </x:c>
      <x:c r="J29" s="11" t="str">
        <x:v>La surface de référence reste présente.</x:v>
      </x:c>
      <x:c r="K29" s="11" t="str">
        <x:v>Comparez ce qui est visible à l’intérieur du cadre.</x:v>
      </x:c>
      <x:c r="L29" s="11" t="str">
        <x:v>À l’entrée du tour.</x:v>
      </x:c>
      <x:c r="M29" s="11" t="str">
        <x:v>L’altération persistante du panneau est anormale.</x:v>
      </x:c>
      <x:c r="N29" s="11" t="str">
        <x:v>Ne pas exiger une comparaison de reflet physiquement exacte non fournie par le moteur.</x:v>
      </x:c>
      <x:c r="O29" s="11" t="str">
        <x:v>Matériau de surface alternatif.</x:v>
      </x:c>
      <x:c r="P29" s="11" t="str">
        <x:v>missing_reflection</x:v>
      </x:c>
      <x:c r="Q29" s="17" t="n">
        <x:v>2</x:v>
      </x:c>
      <x:c r="R29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29" s="19" t="str">
        <x:v>Oui</x:v>
      </x:c>
      <x:c r="T29" s="19" t="str">
        <x:v>—</x:v>
      </x:c>
      <x:c r="U29" s="19" t="str">
        <x:v>—</x:v>
      </x:c>
      <x:c r="V29" s="11" t="str">
        <x:v>Corps / reflet / mouvement</x:v>
      </x:c>
    </x:row>
    <x:row r="30" ht="77" customHeight="1">
      <x:c r="A30" s="12" t="str">
        <x:v>PX-025</x:v>
      </x:c>
      <x:c r="B30" s="12" t="str">
        <x:v>Le code divisé</x:v>
      </x:c>
      <x:c r="C30" s="12" t="str">
        <x:v>Relation</x:v>
      </x:c>
      <x:c r="D30" s="12" t="str">
        <x:v>Présent</x:v>
      </x:c>
      <x:c r="E30" s="13" t="str">
        <x:v>Implémenté — QA partielle</x:v>
      </x:c>
      <x:c r="F30" s="16" t="n">
        <x:v>2</x:v>
      </x:c>
      <x:c r="G30" s="12" t="str">
        <x:v>Relais radio</x:v>
      </x:c>
      <x:c r="H30" s="12" t="str">
        <x:v>Le code de relais à quatre chiffres peut changer normalement à chaque passage ; il doit être identique pour tous les observateurs.</x:v>
      </x:c>
      <x:c r="I30" s="12" t="str">
        <x:v>Un code apparemment normal, par exemple 2174.</x:v>
      </x:c>
      <x:c r="J30" s="12" t="str">
        <x:v>Un autre code également plausible, par exemple 2941.</x:v>
      </x:c>
      <x:c r="K30" s="12" t="str">
        <x:v>Lisez les quatre chiffres à voix haute et comparez exactement le code de chaque inspecteur.</x:v>
      </x:c>
      <x:c r="L30" s="12" t="str">
        <x:v>Code généré au début de chaque passage.</x:v>
      </x:c>
      <x:c r="M30" s="12" t="str">
        <x:v>Deux codes différents dans le même passage imposent un signalement. Un code qui change entre deux passages est normal.</x:v>
      </x:c>
      <x:c r="N30" s="12" t="str">
        <x:v>Les chiffres restent lisibles. La référence précise que le code change normalement entre les tours.</x:v>
      </x:c>
      <x:c r="O30" s="12" t="str">
        <x:v>Afficheur numérique et attribution privée des codes.</x:v>
      </x:c>
      <x:c r="P30" s="12" t="str">
        <x:v>relay_mismatch</x:v>
      </x:c>
      <x:c r="Q30" s="16" t="n">
        <x:v>3</x:v>
      </x:c>
      <x:c r="R30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30" s="18" t="str">
        <x:v>Oui</x:v>
      </x:c>
      <x:c r="T30" s="18" t="str">
        <x:v>Oui</x:v>
      </x:c>
      <x:c r="U30" s="18" t="str">
        <x:v>Oui</x:v>
      </x:c>
      <x:c r="V30" s="12" t="str">
        <x:v>Comparaison entre témoins</x:v>
      </x:c>
    </x:row>
    <x:row r="31" ht="40" customHeight="1">
      <x:c r="A31" s="11" t="str">
        <x:v>PX-026</x:v>
      </x:c>
      <x:c r="B31" s="11" t="str">
        <x:v>Deux chambres raisonnables</x:v>
      </x:c>
      <x:c r="C31" s="11" t="str">
        <x:v>Relation</x:v>
      </x:c>
      <x:c r="D31" s="11" t="str">
        <x:v>Prévu</x:v>
      </x:c>
      <x:c r="E31" s="13" t="str">
        <x:v>Conçu — non implémenté</x:v>
      </x:c>
      <x:c r="F31" s="17" t="n">
        <x:v>2</x:v>
      </x:c>
      <x:c r="G31" s="11" t="str">
        <x:v>Porte</x:v>
      </x:c>
      <x:c r="H31" s="11" t="str">
        <x:v>Chaque observateur voit la même plaque de chambre.</x:v>
      </x:c>
      <x:c r="I31" s="11" t="str">
        <x:v>Il lit 204 sur la deuxième porte.</x:v>
      </x:c>
      <x:c r="J31" s="11" t="str">
        <x:v>Il lit 205 sur la même porte.</x:v>
      </x:c>
      <x:c r="K31" s="11" t="str">
        <x:v>Aucune vue n’est absurde seule. Lire ensemble la plaque et sa position.</x:v>
      </x:c>
      <x:c r="L31" s="11" t="str">
        <x:v>Porte regardée par les deux joueurs à moins de 5 secondes d’écart.</x:v>
      </x:c>
      <x:c r="M31" s="11" t="str">
        <x:v>Le désaccord stable entre deux valeurs plausibles est la preuve.</x:v>
      </x:c>
      <x:c r="N31" s="11" t="str">
        <x:v>Un code de localisation identique est imprimé sous la plaque.</x:v>
      </x:c>
      <x:c r="O31" s="11" t="str">
        <x:v>Deux textures de numéro, attribution privée serveur.</x:v>
      </x:c>
      <x:c r="P31" s="11" t="str">
        <x:v>paired_room</x:v>
      </x:c>
      <x:c r="Q31" s="17" t="n">
        <x:v>3</x:v>
      </x:c>
      <x:c r="R31" s="11" t="str">
        <x:v>Spécification originale ; effet absent du catalogue runtime v0.2.1.</x:v>
      </x:c>
      <x:c r="S31" s="19" t="str">
        <x:v>—</x:v>
      </x:c>
      <x:c r="T31" s="19" t="str">
        <x:v>—</x:v>
      </x:c>
      <x:c r="U31" s="19" t="str">
        <x:v>—</x:v>
      </x:c>
      <x:c r="V31" s="11" t="str">
        <x:v>Comparaison entre témoins</x:v>
      </x:c>
    </x:row>
    <x:row r="32" ht="77" customHeight="1">
      <x:c r="A32" s="12" t="str">
        <x:v>PX-027</x:v>
      </x:c>
      <x:c r="B32" s="12" t="str">
        <x:v>Les minutes séparées</x:v>
      </x:c>
      <x:c r="C32" s="12" t="str">
        <x:v>Relation</x:v>
      </x:c>
      <x:c r="D32" s="12" t="str">
        <x:v>Présent</x:v>
      </x:c>
      <x:c r="E32" s="13" t="str">
        <x:v>Implémenté — QA partielle</x:v>
      </x:c>
      <x:c r="F32" s="16" t="n">
        <x:v>3</x:v>
      </x:c>
      <x:c r="G32" s="12" t="str">
        <x:v>Panneau SYNCHRO</x:v>
      </x:c>
      <x:c r="H32" s="12" t="str">
        <x:v>L’heure SYNCHRO varie normalement entre passages mais doit être identique entre les inspecteurs ; elle est distincte de l’horloge décorative de l’hôtel.</x:v>
      </x:c>
      <x:c r="I32" s="12" t="str">
        <x:v>SYNCHRO affiche une heure et une minute plausibles.</x:v>
      </x:c>
      <x:c r="J32" s="12" t="str">
        <x:v>Le même panneau affiche une heure différente, également plausible.</x:v>
      </x:c>
      <x:c r="K32" s="12" t="str">
        <x:v>Comparez les heures et les minutes du panneau SYNCHRO.</x:v>
      </x:c>
      <x:c r="L32" s="12" t="str">
        <x:v>Dès l’attribution du passage ; tous lisent le même repère partagé.</x:v>
      </x:c>
      <x:c r="M32" s="12" t="str">
        <x:v>Deux lectures simultanées différentes du même afficheur confirment la contradiction.</x:v>
      </x:c>
      <x:c r="N32" s="12" t="str">
        <x:v>Le temps est un code de jeu fixe pendant le tour. Ni horloge système ni délai réseau ne produisent la différence.</x:v>
      </x:c>
      <x:c r="O32" s="12" t="str">
        <x:v>Afficheur dynamique et valeur privée syncTime ; baseline commune au normal.</x:v>
      </x:c>
      <x:c r="P32" s="12" t="str">
        <x:v>paired_clock</x:v>
      </x:c>
      <x:c r="Q32" s="16" t="n">
        <x:v>3</x:v>
      </x:c>
      <x:c r="R32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32" s="18" t="str">
        <x:v>Oui</x:v>
      </x:c>
      <x:c r="T32" s="18" t="str">
        <x:v>Oui</x:v>
      </x:c>
      <x:c r="U32" s="18" t="str">
        <x:v>Oui</x:v>
      </x:c>
      <x:c r="V32" s="12" t="str">
        <x:v>Comparaison entre témoins</x:v>
      </x:c>
    </x:row>
    <x:row r="33" ht="40" customHeight="1">
      <x:c r="A33" s="11" t="str">
        <x:v>PX-028</x:v>
      </x:c>
      <x:c r="B33" s="11" t="str">
        <x:v>Le registre contradictoire</x:v>
      </x:c>
      <x:c r="C33" s="11" t="str">
        <x:v>Relation</x:v>
      </x:c>
      <x:c r="D33" s="11" t="str">
        <x:v>Prévu</x:v>
      </x:c>
      <x:c r="E33" s="13" t="str">
        <x:v>Conçu — non implémenté</x:v>
      </x:c>
      <x:c r="F33" s="17" t="n">
        <x:v>3</x:v>
      </x:c>
      <x:c r="G33" s="11" t="str">
        <x:v>Réception</x:v>
      </x:c>
      <x:c r="H33" s="11" t="str">
        <x:v>Les noms du registre sont identiques pour tous.</x:v>
      </x:c>
      <x:c r="I33" s="11" t="str">
        <x:v>La dernière ligne porte son propre nom.</x:v>
      </x:c>
      <x:c r="J33" s="11" t="str">
        <x:v>La même ligne porte le nom du premier inspecteur.</x:v>
      </x:c>
      <x:c r="K33" s="11" t="str">
        <x:v>Lire la ligne et l’heure d’arrivée correspondante.</x:v>
      </x:c>
      <x:c r="L33" s="11" t="str">
        <x:v>Ouverture volontaire du registre.</x:v>
      </x:c>
      <x:c r="M33" s="11" t="str">
        <x:v>Deux identités différentes sur une ligne unique prouvent la fracture.</x:v>
      </x:c>
      <x:c r="N33" s="11" t="str">
        <x:v>Le jeu emploie seulement les pseudonymes saisis dans le salon.</x:v>
      </x:c>
      <x:c r="O33" s="11" t="str">
        <x:v>Registre interactif, glyphes locaux.</x:v>
      </x:c>
      <x:c r="P33" s="11" t="str">
        <x:v>paired_guestbook</x:v>
      </x:c>
      <x:c r="Q33" s="17" t="n">
        <x:v>3</x:v>
      </x:c>
      <x:c r="R33" s="11" t="str">
        <x:v>Spécification originale ; effet absent du catalogue runtime v0.2.1.</x:v>
      </x:c>
      <x:c r="S33" s="19" t="str">
        <x:v>—</x:v>
      </x:c>
      <x:c r="T33" s="19" t="str">
        <x:v>—</x:v>
      </x:c>
      <x:c r="U33" s="19" t="str">
        <x:v>—</x:v>
      </x:c>
      <x:c r="V33" s="11" t="str">
        <x:v>Comparaison entre témoins</x:v>
      </x:c>
    </x:row>
    <x:row r="34" ht="40" customHeight="1">
      <x:c r="A34" s="12" t="str">
        <x:v>PX-029</x:v>
      </x:c>
      <x:c r="B34" s="12" t="str">
        <x:v>La valise jumelle</x:v>
      </x:c>
      <x:c r="C34" s="12" t="str">
        <x:v>Relation</x:v>
      </x:c>
      <x:c r="D34" s="12" t="str">
        <x:v>Prévu</x:v>
      </x:c>
      <x:c r="E34" s="13" t="str">
        <x:v>Conçu — non implémenté</x:v>
      </x:c>
      <x:c r="F34" s="16" t="n">
        <x:v>2</x:v>
      </x:c>
      <x:c r="G34" s="12" t="str">
        <x:v>Chariot</x:v>
      </x:c>
      <x:c r="H34" s="12" t="str">
        <x:v>Une seule valise porte une étiquette 09.</x:v>
      </x:c>
      <x:c r="I34" s="12" t="str">
        <x:v>La valise de gauche est étiquetée 09.</x:v>
      </x:c>
      <x:c r="J34" s="12" t="str">
        <x:v>La valise de droite est étiquetée 09.</x:v>
      </x:c>
      <x:c r="K34" s="12" t="str">
        <x:v>Comparer position, poignée et texte de chaque valise.</x:v>
      </x:c>
      <x:c r="L34" s="12" t="str">
        <x:v>Inspection du chariot.</x:v>
      </x:c>
      <x:c r="M34" s="12" t="str">
        <x:v>Deux positions pour un repère unique constituent l’anomalie.</x:v>
      </x:c>
      <x:c r="N34" s="12" t="str">
        <x:v>Formes différentes pour rester jouable sans perception des couleurs.</x:v>
      </x:c>
      <x:c r="O34" s="12" t="str">
        <x:v>Deux valises distinctes, étiquettes interverties.</x:v>
      </x:c>
      <x:c r="P34" s="12" t="str">
        <x:v>paired_luggage</x:v>
      </x:c>
      <x:c r="Q34" s="16" t="n">
        <x:v>3</x:v>
      </x:c>
      <x:c r="R34" s="12" t="str">
        <x:v>Spécification originale ; effet absent du catalogue runtime v0.2.1.</x:v>
      </x:c>
      <x:c r="S34" s="18" t="str">
        <x:v>—</x:v>
      </x:c>
      <x:c r="T34" s="18" t="str">
        <x:v>—</x:v>
      </x:c>
      <x:c r="U34" s="18" t="str">
        <x:v>—</x:v>
      </x:c>
      <x:c r="V34" s="12" t="str">
        <x:v>Comparaison entre témoins</x:v>
      </x:c>
    </x:row>
    <x:row r="35" ht="40" customHeight="1">
      <x:c r="A35" s="11" t="str">
        <x:v>PX-030</x:v>
      </x:c>
      <x:c r="B35" s="11" t="str">
        <x:v>Le gant contraire</x:v>
      </x:c>
      <x:c r="C35" s="11" t="str">
        <x:v>Relation</x:v>
      </x:c>
      <x:c r="D35" s="11" t="str">
        <x:v>Prévu</x:v>
      </x:c>
      <x:c r="E35" s="13" t="str">
        <x:v>Conçu — non implémenté</x:v>
      </x:c>
      <x:c r="F35" s="17" t="n">
        <x:v>2</x:v>
      </x:c>
      <x:c r="G35" s="11" t="str">
        <x:v>Vestiaire</x:v>
      </x:c>
      <x:c r="H35" s="11" t="str">
        <x:v>Un gant gauche repose sur le banc.</x:v>
      </x:c>
      <x:c r="I35" s="11" t="str">
        <x:v>Le pouce pointe à gauche.</x:v>
      </x:c>
      <x:c r="J35" s="11" t="str">
        <x:v>Le pouce pointe à droite.</x:v>
      </x:c>
      <x:c r="K35" s="11" t="str">
        <x:v>Décrire l’orientation du pouce depuis le même côté du banc.</x:v>
      </x:c>
      <x:c r="L35" s="11" t="str">
        <x:v>Approche du vestiaire.</x:v>
      </x:c>
      <x:c r="M35" s="11" t="str">
        <x:v>L’objet change de latéralité entre les vues.</x:v>
      </x:c>
      <x:c r="N35" s="11" t="str">
        <x:v>Marquage sol pour éliminer l’ambiguïté du point de vue.</x:v>
      </x:c>
      <x:c r="O35" s="11" t="str">
        <x:v>Gants gauche et droit détaillés.</x:v>
      </x:c>
      <x:c r="P35" s="11" t="str">
        <x:v>paired_hand</x:v>
      </x:c>
      <x:c r="Q35" s="17" t="n">
        <x:v>3</x:v>
      </x:c>
      <x:c r="R35" s="11" t="str">
        <x:v>Spécification originale ; effet absent du catalogue runtime v0.2.1.</x:v>
      </x:c>
      <x:c r="S35" s="19" t="str">
        <x:v>—</x:v>
      </x:c>
      <x:c r="T35" s="19" t="str">
        <x:v>—</x:v>
      </x:c>
      <x:c r="U35" s="19" t="str">
        <x:v>—</x:v>
      </x:c>
      <x:c r="V35" s="11" t="str">
        <x:v>Comparaison entre témoins</x:v>
      </x:c>
    </x:row>
    <x:row r="36" ht="40" customHeight="1">
      <x:c r="A36" s="12" t="str">
        <x:v>PX-031</x:v>
      </x:c>
      <x:c r="B36" s="12" t="str">
        <x:v>Le jour de la photographie</x:v>
      </x:c>
      <x:c r="C36" s="12" t="str">
        <x:v>Relation</x:v>
      </x:c>
      <x:c r="D36" s="12" t="str">
        <x:v>Prévu</x:v>
      </x:c>
      <x:c r="E36" s="13" t="str">
        <x:v>Conçu — non implémenté</x:v>
      </x:c>
      <x:c r="F36" s="16" t="n">
        <x:v>2</x:v>
      </x:c>
      <x:c r="G36" s="12" t="str">
        <x:v>Tableau</x:v>
      </x:c>
      <x:c r="H36" s="12" t="str">
        <x:v>Une photo représente un même quai sous la pluie.</x:v>
      </x:c>
      <x:c r="I36" s="12" t="str">
        <x:v>Le quai est ensoleillé.</x:v>
      </x:c>
      <x:c r="J36" s="12" t="str">
        <x:v>Le quai est sous la neige.</x:v>
      </x:c>
      <x:c r="K36" s="12" t="str">
        <x:v>Décrire les objets météo plutôt que la teinte générale.</x:v>
      </x:c>
      <x:c r="L36" s="12" t="str">
        <x:v>Observation du cadre.</x:v>
      </x:c>
      <x:c r="M36" s="12" t="str">
        <x:v>Deux saisons incompatibles sur une même photo.</x:v>
      </x:c>
      <x:c r="N36" s="12" t="str">
        <x:v>Parapluie et neige lisibles même sans post-traitement.</x:v>
      </x:c>
      <x:c r="O36" s="12" t="str">
        <x:v>Deux œuvres originales et masque de météo.</x:v>
      </x:c>
      <x:c r="P36" s="12" t="str">
        <x:v>paired_photo_weather</x:v>
      </x:c>
      <x:c r="Q36" s="16" t="n">
        <x:v>3</x:v>
      </x:c>
      <x:c r="R36" s="12" t="str">
        <x:v>Spécification originale ; effet absent du catalogue runtime v0.2.1.</x:v>
      </x:c>
      <x:c r="S36" s="18" t="str">
        <x:v>—</x:v>
      </x:c>
      <x:c r="T36" s="18" t="str">
        <x:v>—</x:v>
      </x:c>
      <x:c r="U36" s="18" t="str">
        <x:v>—</x:v>
      </x:c>
      <x:c r="V36" s="12" t="str">
        <x:v>Comparaison entre témoins</x:v>
      </x:c>
    </x:row>
    <x:row r="37" ht="77" customHeight="1">
      <x:c r="A37" s="11" t="str">
        <x:v>PX-032</x:v>
      </x:c>
      <x:c r="B37" s="11" t="str">
        <x:v>Deux directions</x:v>
      </x:c>
      <x:c r="C37" s="11" t="str">
        <x:v>Relation</x:v>
      </x:c>
      <x:c r="D37" s="11" t="str">
        <x:v>Présent</x:v>
      </x:c>
      <x:c r="E37" s="13" t="str">
        <x:v>Implémenté — QA partielle</x:v>
      </x:c>
      <x:c r="F37" s="17" t="n">
        <x:v>2</x:v>
      </x:c>
      <x:c r="G37" s="11" t="str">
        <x:v>Panneau SYNCHRO</x:v>
      </x:c>
      <x:c r="H37" s="11" t="str">
        <x:v>La flèche de synchronisation peut changer entre passages, mais tous les inspecteurs doivent voir la même direction.</x:v>
      </x:c>
      <x:c r="I37" s="11" t="str">
        <x:v>La flèche indique gauche.</x:v>
      </x:c>
      <x:c r="J37" s="11" t="str">
        <x:v>La flèche du même repère indique droite.</x:v>
      </x:c>
      <x:c r="K37" s="11" t="str">
        <x:v>Dites explicitement gauche ou droite pour la flèche de SYNCHRO.</x:v>
      </x:c>
      <x:c r="L37" s="11" t="str">
        <x:v>Observation du panneau pendant l’inspection.</x:v>
      </x:c>
      <x:c r="M37" s="11" t="str">
        <x:v>Deux directions incompatibles pour le même panneau confirment une anomalie relationnelle.</x:v>
      </x:c>
      <x:c r="N37" s="11" t="str">
        <x:v>Aucune direction n’est intrinsèquement fausse. Le diagnostic repose sur la comparaison, sans imposer de suivre une voie dangereuse.</x:v>
      </x:c>
      <x:c r="O37" s="11" t="str">
        <x:v>Panneau fléché et valeur privée arrowDirection ; référence variable partagée.</x:v>
      </x:c>
      <x:c r="P37" s="11" t="str">
        <x:v>paired_arrow</x:v>
      </x:c>
      <x:c r="Q37" s="17" t="n">
        <x:v>3</x:v>
      </x:c>
      <x:c r="R3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37" s="19" t="str">
        <x:v>Oui</x:v>
      </x:c>
      <x:c r="T37" s="19" t="str">
        <x:v>Oui</x:v>
      </x:c>
      <x:c r="U37" s="19" t="str">
        <x:v>Oui</x:v>
      </x:c>
      <x:c r="V37" s="11" t="str">
        <x:v>Comparaison entre témoins</x:v>
      </x:c>
    </x:row>
    <x:row r="38" ht="40" customHeight="1">
      <x:c r="A38" s="12" t="str">
        <x:v>PX-033</x:v>
      </x:c>
      <x:c r="B38" s="12" t="str">
        <x:v>Le quatrième coup</x:v>
      </x:c>
      <x:c r="C38" s="12" t="str">
        <x:v>Son</x:v>
      </x:c>
      <x:c r="D38" s="12" t="str">
        <x:v>Prévu</x:v>
      </x:c>
      <x:c r="E38" s="13" t="str">
        <x:v>Conçu — non implémenté</x:v>
      </x:c>
      <x:c r="F38" s="16" t="n">
        <x:v>3</x:v>
      </x:c>
      <x:c r="G38" s="12" t="str">
        <x:v>Porte</x:v>
      </x:c>
      <x:c r="H38" s="12" t="str">
        <x:v>Une porte silencieuse reste silencieuse.</x:v>
      </x:c>
      <x:c r="I38" s="12" t="str">
        <x:v>Il entend trois coups.</x:v>
      </x:c>
      <x:c r="J38" s="12" t="str">
        <x:v>Il entend quatre coups.</x:v>
      </x:c>
      <x:c r="K38" s="12" t="str">
        <x:v>Attendre le cycle suivant, compter puis partager le rythme.</x:v>
      </x:c>
      <x:c r="L38" s="12" t="str">
        <x:v>Cycle répété toutes les 12 secondes.</x:v>
      </x:c>
      <x:c r="M38" s="12" t="str">
        <x:v>Tout coup est déjà anormal. La différence précise la preuve.</x:v>
      </x:c>
      <x:c r="N38" s="12" t="str">
        <x:v>Sous-titres privés équivalents et replay volontaire.</x:v>
      </x:c>
      <x:c r="O38" s="12" t="str">
        <x:v>Impacts spatialisés, sous-titres de rythme.</x:v>
      </x:c>
      <x:c r="P38" s="12" t="str">
        <x:v>paired_knocks</x:v>
      </x:c>
      <x:c r="Q38" s="16" t="n">
        <x:v>2</x:v>
      </x:c>
      <x:c r="R38" s="12" t="str">
        <x:v>Spécification originale ; effet absent du catalogue runtime v0.2.1.</x:v>
      </x:c>
      <x:c r="S38" s="18" t="str">
        <x:v>—</x:v>
      </x:c>
      <x:c r="T38" s="18" t="str">
        <x:v>—</x:v>
      </x:c>
      <x:c r="U38" s="18" t="str">
        <x:v>—</x:v>
      </x:c>
      <x:c r="V38" s="12" t="str">
        <x:v>Visuel / objet / espace</x:v>
      </x:c>
    </x:row>
    <x:row r="39" ht="40" customHeight="1">
      <x:c r="A39" s="11" t="str">
        <x:v>PX-034</x:v>
      </x:c>
      <x:c r="B39" s="11" t="str">
        <x:v>Deux lendemains</x:v>
      </x:c>
      <x:c r="C39" s="11" t="str">
        <x:v>Relation</x:v>
      </x:c>
      <x:c r="D39" s="11" t="str">
        <x:v>Prévu</x:v>
      </x:c>
      <x:c r="E39" s="13" t="str">
        <x:v>Conçu — non implémenté</x:v>
      </x:c>
      <x:c r="F39" s="17" t="n">
        <x:v>2</x:v>
      </x:c>
      <x:c r="G39" s="11" t="str">
        <x:v>Salon</x:v>
      </x:c>
      <x:c r="H39" s="11" t="str">
        <x:v>Les journaux portent la même date.</x:v>
      </x:c>
      <x:c r="I39" s="11" t="str">
        <x:v>Le journal est daté de demain.</x:v>
      </x:c>
      <x:c r="J39" s="11" t="str">
        <x:v>Le journal est daté d’hier.</x:v>
      </x:c>
      <x:c r="K39" s="11" t="str">
        <x:v>Lire date et titre complet de la une.</x:v>
      </x:c>
      <x:c r="L39" s="11" t="str">
        <x:v>Lecture volontaire.</x:v>
      </x:c>
      <x:c r="M39" s="11" t="str">
        <x:v>La différence de date au même emplacement est anormale.</x:v>
      </x:c>
      <x:c r="N39" s="11" t="str">
        <x:v>Une horloge de référence indique clairement la date attendue.</x:v>
      </x:c>
      <x:c r="O39" s="11" t="str">
        <x:v>Une de journal fictionnel, deux versions.</x:v>
      </x:c>
      <x:c r="P39" s="11" t="str">
        <x:v>paired_newspaper</x:v>
      </x:c>
      <x:c r="Q39" s="17" t="n">
        <x:v>3</x:v>
      </x:c>
      <x:c r="R39" s="11" t="str">
        <x:v>Spécification originale ; effet absent du catalogue runtime v0.2.1.</x:v>
      </x:c>
      <x:c r="S39" s="19" t="str">
        <x:v>—</x:v>
      </x:c>
      <x:c r="T39" s="19" t="str">
        <x:v>—</x:v>
      </x:c>
      <x:c r="U39" s="19" t="str">
        <x:v>—</x:v>
      </x:c>
      <x:c r="V39" s="11" t="str">
        <x:v>Comparaison entre témoins</x:v>
      </x:c>
    </x:row>
    <x:row r="40" ht="40" customHeight="1">
      <x:c r="A40" s="12" t="str">
        <x:v>PX-035</x:v>
      </x:c>
      <x:c r="B40" s="12" t="str">
        <x:v>La constellation amputée</x:v>
      </x:c>
      <x:c r="C40" s="12" t="str">
        <x:v>Relation</x:v>
      </x:c>
      <x:c r="D40" s="12" t="str">
        <x:v>Prévu</x:v>
      </x:c>
      <x:c r="E40" s="13" t="str">
        <x:v>Conçu — non implémenté</x:v>
      </x:c>
      <x:c r="F40" s="16" t="n">
        <x:v>2</x:v>
      </x:c>
      <x:c r="G40" s="12" t="str">
        <x:v>Fenêtre</x:v>
      </x:c>
      <x:c r="H40" s="12" t="str">
        <x:v>Les étoiles dessinent le même motif de six points.</x:v>
      </x:c>
      <x:c r="I40" s="12" t="str">
        <x:v>Il voit quatre étoiles à gauche.</x:v>
      </x:c>
      <x:c r="J40" s="12" t="str">
        <x:v>Il voit quatre étoiles à droite.</x:v>
      </x:c>
      <x:c r="K40" s="12" t="str">
        <x:v>Décrire la disposition et reconstituer les six positions.</x:v>
      </x:c>
      <x:c r="L40" s="12" t="str">
        <x:v>Station d’observation marquée au sol.</x:v>
      </x:c>
      <x:c r="M40" s="12" t="str">
        <x:v>La suppression différente d’un motif fixe confirme la fracture.</x:v>
      </x:c>
      <x:c r="N40" s="12" t="str">
        <x:v>Motif court. Aucun besoin de connaissance astronomique.</x:v>
      </x:c>
      <x:c r="O40" s="12" t="str">
        <x:v>Ciel procédural et couche locale d’étoiles.</x:v>
      </x:c>
      <x:c r="P40" s="12" t="str">
        <x:v>paired_stars</x:v>
      </x:c>
      <x:c r="Q40" s="16" t="n">
        <x:v>3</x:v>
      </x:c>
      <x:c r="R40" s="12" t="str">
        <x:v>Spécification originale ; effet absent du catalogue runtime v0.2.1.</x:v>
      </x:c>
      <x:c r="S40" s="18" t="str">
        <x:v>—</x:v>
      </x:c>
      <x:c r="T40" s="18" t="str">
        <x:v>—</x:v>
      </x:c>
      <x:c r="U40" s="18" t="str">
        <x:v>—</x:v>
      </x:c>
      <x:c r="V40" s="12" t="str">
        <x:v>Comparaison entre témoins</x:v>
      </x:c>
    </x:row>
    <x:row r="41" ht="40" customHeight="1">
      <x:c r="A41" s="11" t="str">
        <x:v>PX-036</x:v>
      </x:c>
      <x:c r="B41" s="11" t="str">
        <x:v>L’autorisation refusée</x:v>
      </x:c>
      <x:c r="C41" s="11" t="str">
        <x:v>Relation</x:v>
      </x:c>
      <x:c r="D41" s="11" t="str">
        <x:v>Prévu</x:v>
      </x:c>
      <x:c r="E41" s="13" t="str">
        <x:v>Conçu — non implémenté</x:v>
      </x:c>
      <x:c r="F41" s="17" t="n">
        <x:v>3</x:v>
      </x:c>
      <x:c r="G41" s="11" t="str">
        <x:v>Bureau</x:v>
      </x:c>
      <x:c r="H41" s="11" t="str">
        <x:v>Les formulaires possèdent un tampon cohérent.</x:v>
      </x:c>
      <x:c r="I41" s="11" t="str">
        <x:v>Le dossier porte « VALIDÉ ».</x:v>
      </x:c>
      <x:c r="J41" s="11" t="str">
        <x:v>Le dossier porte « REFUSÉ ».</x:v>
      </x:c>
      <x:c r="K41" s="11" t="str">
        <x:v>Épeler le tampon en citant le numéro du dossier.</x:v>
      </x:c>
      <x:c r="L41" s="11" t="str">
        <x:v>Interaction avec le classeur.</x:v>
      </x:c>
      <x:c r="M41" s="11" t="str">
        <x:v>Deux décisions opposées sur le même dossier sont anormales.</x:v>
      </x:c>
      <x:c r="N41" s="11" t="str">
        <x:v>La fausse autorisation ne commande jamais la logique de jeu.</x:v>
      </x:c>
      <x:c r="O41" s="11" t="str">
        <x:v>Documents lisibles et tampons.</x:v>
      </x:c>
      <x:c r="P41" s="11" t="str">
        <x:v>paired_stamp</x:v>
      </x:c>
      <x:c r="Q41" s="17" t="n">
        <x:v>3</x:v>
      </x:c>
      <x:c r="R41" s="11" t="str">
        <x:v>Spécification originale ; effet absent du catalogue runtime v0.2.1.</x:v>
      </x:c>
      <x:c r="S41" s="19" t="str">
        <x:v>—</x:v>
      </x:c>
      <x:c r="T41" s="19" t="str">
        <x:v>—</x:v>
      </x:c>
      <x:c r="U41" s="19" t="str">
        <x:v>—</x:v>
      </x:c>
      <x:c r="V41" s="11" t="str">
        <x:v>Comparaison entre témoins</x:v>
      </x:c>
    </x:row>
    <x:row r="42" ht="40" customHeight="1">
      <x:c r="A42" s="12" t="str">
        <x:v>PX-037</x:v>
      </x:c>
      <x:c r="B42" s="12" t="str">
        <x:v>Les pas sans propriétaire</x:v>
      </x:c>
      <x:c r="C42" s="12" t="str">
        <x:v>Son</x:v>
      </x:c>
      <x:c r="D42" s="12" t="str">
        <x:v>Prévu</x:v>
      </x:c>
      <x:c r="E42" s="13" t="str">
        <x:v>Conçu — non implémenté</x:v>
      </x:c>
      <x:c r="F42" s="16" t="n">
        <x:v>3</x:v>
      </x:c>
      <x:c r="G42" s="12" t="str">
        <x:v>Couloir</x:v>
      </x:c>
      <x:c r="H42" s="12" t="str">
        <x:v>Les bruits de pas correspondent aux déplacements des joueurs.</x:v>
      </x:c>
      <x:c r="I42" s="12" t="str">
        <x:v>Il entend des pas qui continuent après l’arrêt de l’équipe.</x:v>
      </x:c>
      <x:c r="J42" s="12" t="str">
        <x:v>Il entend le silence.</x:v>
      </x:c>
      <x:c r="K42" s="12" t="str">
        <x:v>S’arrêter ensemble cinq secondes et compter les pas résiduels.</x:v>
      </x:c>
      <x:c r="L42" s="12" t="str">
        <x:v>Tous les joueurs immobiles trois secondes.</x:v>
      </x:c>
      <x:c r="M42" s="12" t="str">
        <x:v>Des pas persistants sans marcheur confirment l’anomalie.</x:v>
      </x:c>
      <x:c r="N42" s="12" t="str">
        <x:v>Les sons propres des joueurs sont exclus du comptage de preuve.</x:v>
      </x:c>
      <x:c r="O42" s="12" t="str">
        <x:v>Pas spatialisés et sous-titres directionnels.</x:v>
      </x:c>
      <x:c r="P42" s="12" t="str">
        <x:v>footsteps_unowned</x:v>
      </x:c>
      <x:c r="Q42" s="16" t="n">
        <x:v>2</x:v>
      </x:c>
      <x:c r="R42" s="12" t="str">
        <x:v>Spécification originale ; effet absent du catalogue runtime v0.2.1.</x:v>
      </x:c>
      <x:c r="S42" s="18" t="str">
        <x:v>—</x:v>
      </x:c>
      <x:c r="T42" s="18" t="str">
        <x:v>—</x:v>
      </x:c>
      <x:c r="U42" s="18" t="str">
        <x:v>—</x:v>
      </x:c>
      <x:c r="V42" s="12" t="str">
        <x:v>Visuel / objet / espace</x:v>
      </x:c>
    </x:row>
    <x:row r="43" ht="40" customHeight="1">
      <x:c r="A43" s="11" t="str">
        <x:v>PX-038</x:v>
      </x:c>
      <x:c r="B43" s="11" t="str">
        <x:v>Le bulletin de demain</x:v>
      </x:c>
      <x:c r="C43" s="11" t="str">
        <x:v>Son</x:v>
      </x:c>
      <x:c r="D43" s="11" t="str">
        <x:v>Prévu</x:v>
      </x:c>
      <x:c r="E43" s="13" t="str">
        <x:v>Conçu — non implémenté</x:v>
      </x:c>
      <x:c r="F43" s="17" t="n">
        <x:v>3</x:v>
      </x:c>
      <x:c r="G43" s="11" t="str">
        <x:v>Radio</x:v>
      </x:c>
      <x:c r="H43" s="11" t="str">
        <x:v>La radio émet uniquement un souffle discret.</x:v>
      </x:c>
      <x:c r="I43" s="11" t="str">
        <x:v>Une voix annonce une action que personne n’a encore faite.</x:v>
      </x:c>
      <x:c r="J43" s="11" t="str">
        <x:v>La radio souffle normalement.</x:v>
      </x:c>
      <x:c r="K43" s="11" t="str">
        <x:v>Répéter la phrase et comparer avec le journal des actions.</x:v>
      </x:c>
      <x:c r="L43" s="11" t="str">
        <x:v>Interaction avec le bouton de radio.</x:v>
      </x:c>
      <x:c r="M43" s="11" t="str">
        <x:v>Une annonce articulée absente de la référence est suffisante.</x:v>
      </x:c>
      <x:c r="N43" s="11" t="str">
        <x:v>Pas d’analyse ni d’imitation de la voix réelle des joueurs.</x:v>
      </x:c>
      <x:c r="O43" s="11" t="str">
        <x:v>Voix originale, texte privé identique au contenu.</x:v>
      </x:c>
      <x:c r="P43" s="11" t="str">
        <x:v>radio_future</x:v>
      </x:c>
      <x:c r="Q43" s="17" t="n">
        <x:v>2</x:v>
      </x:c>
      <x:c r="R43" s="11" t="str">
        <x:v>Spécification originale ; effet absent du catalogue runtime v0.2.1.</x:v>
      </x:c>
      <x:c r="S43" s="19" t="str">
        <x:v>—</x:v>
      </x:c>
      <x:c r="T43" s="19" t="str">
        <x:v>—</x:v>
      </x:c>
      <x:c r="U43" s="19" t="str">
        <x:v>—</x:v>
      </x:c>
      <x:c r="V43" s="11" t="str">
        <x:v>Audio + relevé écrit</x:v>
      </x:c>
    </x:row>
    <x:row r="44" ht="40" customHeight="1">
      <x:c r="A44" s="12" t="str">
        <x:v>PX-039</x:v>
      </x:c>
      <x:c r="B44" s="12" t="str">
        <x:v>La respiration dans le fil</x:v>
      </x:c>
      <x:c r="C44" s="12" t="str">
        <x:v>Son</x:v>
      </x:c>
      <x:c r="D44" s="12" t="str">
        <x:v>Prévu</x:v>
      </x:c>
      <x:c r="E44" s="13" t="str">
        <x:v>Conçu — non implémenté</x:v>
      </x:c>
      <x:c r="F44" s="16" t="n">
        <x:v>4</x:v>
      </x:c>
      <x:c r="G44" s="12" t="str">
        <x:v>Téléphone</x:v>
      </x:c>
      <x:c r="H44" s="12" t="str">
        <x:v>Le téléphone ne sonne pas et le combiné reste muet.</x:v>
      </x:c>
      <x:c r="I44" s="12" t="str">
        <x:v>Une respiration se fait entendre au combiné.</x:v>
      </x:c>
      <x:c r="J44" s="12" t="str">
        <x:v>Il perçoit un téléphone silencieux.</x:v>
      </x:c>
      <x:c r="K44" s="12" t="str">
        <x:v>Décrire un cycle long d’inspiration et d’expiration.</x:v>
      </x:c>
      <x:c r="L44" s="12" t="str">
        <x:v>Décrocher volontairement.</x:v>
      </x:c>
      <x:c r="M44" s="12" t="str">
        <x:v>La respiration inhabituelle peut être signalée immédiatement.</x:v>
      </x:c>
      <x:c r="N44" s="12" t="str">
        <x:v>Volume plafonné, sous-titre « respiration lente ».</x:v>
      </x:c>
      <x:c r="O44" s="12" t="str">
        <x:v>Souffle synthétique contrôlé, combiné.</x:v>
      </x:c>
      <x:c r="P44" s="12" t="str">
        <x:v>telephone_breath</x:v>
      </x:c>
      <x:c r="Q44" s="16" t="n">
        <x:v>2</x:v>
      </x:c>
      <x:c r="R44" s="12" t="str">
        <x:v>Spécification originale ; effet absent du catalogue runtime v0.2.1.</x:v>
      </x:c>
      <x:c r="S44" s="18" t="str">
        <x:v>—</x:v>
      </x:c>
      <x:c r="T44" s="18" t="str">
        <x:v>—</x:v>
      </x:c>
      <x:c r="U44" s="18" t="str">
        <x:v>—</x:v>
      </x:c>
      <x:c r="V44" s="12" t="str">
        <x:v>Visuel / objet / espace</x:v>
      </x:c>
    </x:row>
    <x:row r="45" ht="40" customHeight="1">
      <x:c r="A45" s="11" t="str">
        <x:v>PX-040</x:v>
      </x:c>
      <x:c r="B45" s="11" t="str">
        <x:v>Le conduit qui nomme</x:v>
      </x:c>
      <x:c r="C45" s="11" t="str">
        <x:v>Son</x:v>
      </x:c>
      <x:c r="D45" s="11" t="str">
        <x:v>Prévu</x:v>
      </x:c>
      <x:c r="E45" s="13" t="str">
        <x:v>Conçu — non implémenté</x:v>
      </x:c>
      <x:c r="F45" s="17" t="n">
        <x:v>4</x:v>
      </x:c>
      <x:c r="G45" s="11" t="str">
        <x:v>Ventilation</x:v>
      </x:c>
      <x:c r="H45" s="11" t="str">
        <x:v>L’aération produit un ronronnement constant.</x:v>
      </x:c>
      <x:c r="I45" s="11" t="str">
        <x:v>Un murmure épelle un pseudonyme du salon.</x:v>
      </x:c>
      <x:c r="J45" s="11" t="str">
        <x:v>Il entend seulement le ventilateur.</x:v>
      </x:c>
      <x:c r="K45" s="11" t="str">
        <x:v>Lire ensemble le pseudonyme entendu et localiser la bouche.</x:v>
      </x:c>
      <x:c r="L45" s="11" t="str">
        <x:v>Approche à deux mètres.</x:v>
      </x:c>
      <x:c r="M45" s="11" t="str">
        <x:v>Une voix articulée dans le conduit est anormale.</x:v>
      </x:c>
      <x:c r="N45" s="11" t="str">
        <x:v>Seuls les pseudonymes consentis sont utilisés, jamais des données externes.</x:v>
      </x:c>
      <x:c r="O45" s="11" t="str">
        <x:v>Lettres audio synthétiques, sous-titres privés.</x:v>
      </x:c>
      <x:c r="P45" s="11" t="str">
        <x:v>vent_whisper</x:v>
      </x:c>
      <x:c r="Q45" s="17" t="n">
        <x:v>2</x:v>
      </x:c>
      <x:c r="R45" s="11" t="str">
        <x:v>Spécification originale ; effet absent du catalogue runtime v0.2.1.</x:v>
      </x:c>
      <x:c r="S45" s="19" t="str">
        <x:v>—</x:v>
      </x:c>
      <x:c r="T45" s="19" t="str">
        <x:v>—</x:v>
      </x:c>
      <x:c r="U45" s="19" t="str">
        <x:v>—</x:v>
      </x:c>
      <x:c r="V45" s="11" t="str">
        <x:v>Visuel / objet / espace</x:v>
      </x:c>
    </x:row>
    <x:row r="46" ht="40" customHeight="1">
      <x:c r="A46" s="12" t="str">
        <x:v>PX-041</x:v>
      </x:c>
      <x:c r="B46" s="12" t="str">
        <x:v>La note retenue</x:v>
      </x:c>
      <x:c r="C46" s="12" t="str">
        <x:v>Son</x:v>
      </x:c>
      <x:c r="D46" s="12" t="str">
        <x:v>Prévu</x:v>
      </x:c>
      <x:c r="E46" s="13" t="str">
        <x:v>Conçu — non implémenté</x:v>
      </x:c>
      <x:c r="F46" s="16" t="n">
        <x:v>2</x:v>
      </x:c>
      <x:c r="G46" s="12" t="str">
        <x:v>Salon</x:v>
      </x:c>
      <x:c r="H46" s="12" t="str">
        <x:v>La boîte à musique suit une courte mélodie.</x:v>
      </x:c>
      <x:c r="I46" s="12" t="str">
        <x:v>La dernière note se prolonge indéfiniment.</x:v>
      </x:c>
      <x:c r="J46" s="12" t="str">
        <x:v>La mélodie boucle normalement.</x:v>
      </x:c>
      <x:c r="K46" s="12" t="str">
        <x:v>Écouter un cycle complet puis comparer la fin.</x:v>
      </x:c>
      <x:c r="L46" s="12" t="str">
        <x:v>Activation volontaire de la boîte.</x:v>
      </x:c>
      <x:c r="M46" s="12" t="str">
        <x:v>La note tenue après le cycle confirme l’anomalie.</x:v>
      </x:c>
      <x:c r="N46" s="12" t="str">
        <x:v>Visualisation discrète du rythme pour jouer sans son.</x:v>
      </x:c>
      <x:c r="O46" s="12" t="str">
        <x:v>Mélodie originale, automate audio.</x:v>
      </x:c>
      <x:c r="P46" s="12" t="str">
        <x:v>music_one_note</x:v>
      </x:c>
      <x:c r="Q46" s="16" t="n">
        <x:v>2</x:v>
      </x:c>
      <x:c r="R46" s="12" t="str">
        <x:v>Spécification originale ; effet absent du catalogue runtime v0.2.1.</x:v>
      </x:c>
      <x:c r="S46" s="18" t="str">
        <x:v>—</x:v>
      </x:c>
      <x:c r="T46" s="18" t="str">
        <x:v>—</x:v>
      </x:c>
      <x:c r="U46" s="18" t="str">
        <x:v>—</x:v>
      </x:c>
      <x:c r="V46" s="12" t="str">
        <x:v>Visuel / objet / espace</x:v>
      </x:c>
    </x:row>
    <x:row r="47" ht="40" customHeight="1">
      <x:c r="A47" s="11" t="str">
        <x:v>PX-042</x:v>
      </x:c>
      <x:c r="B47" s="11" t="str">
        <x:v>L’ascenseur au-dessous</x:v>
      </x:c>
      <x:c r="C47" s="11" t="str">
        <x:v>Son</x:v>
      </x:c>
      <x:c r="D47" s="11" t="str">
        <x:v>Prévu</x:v>
      </x:c>
      <x:c r="E47" s="13" t="str">
        <x:v>Conçu — non implémenté</x:v>
      </x:c>
      <x:c r="F47" s="17" t="n">
        <x:v>3</x:v>
      </x:c>
      <x:c r="G47" s="11" t="str">
        <x:v>Ascenseur</x:v>
      </x:c>
      <x:c r="H47" s="11" t="str">
        <x:v>L’ascenseur produit une seule sonnerie à l’arrêt.</x:v>
      </x:c>
      <x:c r="I47" s="11" t="str">
        <x:v>Il entend neuf arrêts sans déplacement visible.</x:v>
      </x:c>
      <x:c r="J47" s="11" t="str">
        <x:v>Il entend une sonnerie.</x:v>
      </x:c>
      <x:c r="K47" s="11" t="str">
        <x:v>Compter les sonneries et lire l’étage affiché.</x:v>
      </x:c>
      <x:c r="L47" s="11" t="str">
        <x:v>Appui sur bouton d’appel.</x:v>
      </x:c>
      <x:c r="M47" s="11" t="str">
        <x:v>Plusieurs arrêts sans déplacement observable sont anormaux.</x:v>
      </x:c>
      <x:c r="N47" s="11" t="str">
        <x:v>L’ascenseur ne devient pas un piège nécessaire à la preuve.</x:v>
      </x:c>
      <x:c r="O47" s="11" t="str">
        <x:v>Carillon original, afficheur d’étage.</x:v>
      </x:c>
      <x:c r="P47" s="11" t="str">
        <x:v>elevator_count</x:v>
      </x:c>
      <x:c r="Q47" s="17" t="n">
        <x:v>2</x:v>
      </x:c>
      <x:c r="R47" s="11" t="str">
        <x:v>Spécification originale ; effet absent du catalogue runtime v0.2.1.</x:v>
      </x:c>
      <x:c r="S47" s="19" t="str">
        <x:v>—</x:v>
      </x:c>
      <x:c r="T47" s="19" t="str">
        <x:v>—</x:v>
      </x:c>
      <x:c r="U47" s="19" t="str">
        <x:v>—</x:v>
      </x:c>
      <x:c r="V47" s="11" t="str">
        <x:v>Visuel / objet / espace</x:v>
      </x:c>
    </x:row>
    <x:row r="48" ht="40" customHeight="1">
      <x:c r="A48" s="12" t="str">
        <x:v>PX-043</x:v>
      </x:c>
      <x:c r="B48" s="12" t="str">
        <x:v>La pluie dans la pièce</x:v>
      </x:c>
      <x:c r="C48" s="12" t="str">
        <x:v>Son</x:v>
      </x:c>
      <x:c r="D48" s="12" t="str">
        <x:v>Prévu</x:v>
      </x:c>
      <x:c r="E48" s="13" t="str">
        <x:v>Conçu — non implémenté</x:v>
      </x:c>
      <x:c r="F48" s="16" t="n">
        <x:v>2</x:v>
      </x:c>
      <x:c r="G48" s="12" t="str">
        <x:v>Salon</x:v>
      </x:c>
      <x:c r="H48" s="12" t="str">
        <x:v>La pluie vient seulement de l’extérieur.</x:v>
      </x:c>
      <x:c r="I48" s="12" t="str">
        <x:v>La pluie s’entend depuis le plafond intérieur.</x:v>
      </x:c>
      <x:c r="J48" s="12" t="str">
        <x:v>Elle vient de la fenêtre.</x:v>
      </x:c>
      <x:c r="K48" s="12" t="str">
        <x:v>Fermer l’écoute près de la fenêtre puis se déplacer sous le centre.</x:v>
      </x:c>
      <x:c r="L48" s="12" t="str">
        <x:v>Approche du centre du salon.</x:v>
      </x:c>
      <x:c r="M48" s="12" t="str">
        <x:v>Origine intérieure impossible du son.</x:v>
      </x:c>
      <x:c r="N48" s="12" t="str">
        <x:v>Les sous-titres indiquent une zone, pas le diagnostic automatique.</x:v>
      </x:c>
      <x:c r="O48" s="12" t="str">
        <x:v>Pluie spatialisée, sous-titres de provenance.</x:v>
      </x:c>
      <x:c r="P48" s="12" t="str">
        <x:v>rain_inside</x:v>
      </x:c>
      <x:c r="Q48" s="16" t="n">
        <x:v>2</x:v>
      </x:c>
      <x:c r="R48" s="12" t="str">
        <x:v>Spécification originale ; effet absent du catalogue runtime v0.2.1.</x:v>
      </x:c>
      <x:c r="S48" s="18" t="str">
        <x:v>—</x:v>
      </x:c>
      <x:c r="T48" s="18" t="str">
        <x:v>—</x:v>
      </x:c>
      <x:c r="U48" s="18" t="str">
        <x:v>—</x:v>
      </x:c>
      <x:c r="V48" s="12" t="str">
        <x:v>Visuel / objet / espace</x:v>
      </x:c>
    </x:row>
    <x:row r="49" ht="40" customHeight="1">
      <x:c r="A49" s="11" t="str">
        <x:v>PX-044</x:v>
      </x:c>
      <x:c r="B49" s="11" t="str">
        <x:v>La cloche en retard</x:v>
      </x:c>
      <x:c r="C49" s="11" t="str">
        <x:v>Temps</x:v>
      </x:c>
      <x:c r="D49" s="11" t="str">
        <x:v>Prévu</x:v>
      </x:c>
      <x:c r="E49" s="13" t="str">
        <x:v>Conçu — non implémenté</x:v>
      </x:c>
      <x:c r="F49" s="17" t="n">
        <x:v>2</x:v>
      </x:c>
      <x:c r="G49" s="11" t="str">
        <x:v>Réception</x:v>
      </x:c>
      <x:c r="H49" s="11" t="str">
        <x:v>La cloche sonne au moment du contact.</x:v>
      </x:c>
      <x:c r="I49" s="11" t="str">
        <x:v>La sonnerie arrive cinq secondes après.</x:v>
      </x:c>
      <x:c r="J49" s="11" t="str">
        <x:v>La sonnerie arrive immédiatement.</x:v>
      </x:c>
      <x:c r="K49" s="11" t="str">
        <x:v>Un joueur appuie, tous comptent le délai.</x:v>
      </x:c>
      <x:c r="L49" s="11" t="str">
        <x:v>Interaction avec la cloche.</x:v>
      </x:c>
      <x:c r="M49" s="11" t="str">
        <x:v>Le retard local reproductible confirme une fracture temporelle.</x:v>
      </x:c>
      <x:c r="N49" s="11" t="str">
        <x:v>Tolérance de réseau prévue. Délai volontaire nettement supérieur au jitter.</x:v>
      </x:c>
      <x:c r="O49" s="11" t="str">
        <x:v>Cloche animée et événements horodatés.</x:v>
      </x:c>
      <x:c r="P49" s="11" t="str">
        <x:v>bell_after_departure</x:v>
      </x:c>
      <x:c r="Q49" s="17" t="n">
        <x:v>2</x:v>
      </x:c>
      <x:c r="R49" s="11" t="str">
        <x:v>Spécification originale ; effet absent du catalogue runtime v0.2.1.</x:v>
      </x:c>
      <x:c r="S49" s="19" t="str">
        <x:v>—</x:v>
      </x:c>
      <x:c r="T49" s="19" t="str">
        <x:v>—</x:v>
      </x:c>
      <x:c r="U49" s="19" t="str">
        <x:v>—</x:v>
      </x:c>
      <x:c r="V49" s="11" t="str">
        <x:v>Visuel / objet / espace</x:v>
      </x:c>
    </x:row>
    <x:row r="50" ht="40" customHeight="1">
      <x:c r="A50" s="12" t="str">
        <x:v>PX-045</x:v>
      </x:c>
      <x:c r="B50" s="12" t="str">
        <x:v>L’heure observée</x:v>
      </x:c>
      <x:c r="C50" s="12" t="str">
        <x:v>Temps</x:v>
      </x:c>
      <x:c r="D50" s="12" t="str">
        <x:v>Prévu</x:v>
      </x:c>
      <x:c r="E50" s="13" t="str">
        <x:v>Conçu — non implémenté</x:v>
      </x:c>
      <x:c r="F50" s="16" t="n">
        <x:v>2</x:v>
      </x:c>
      <x:c r="G50" s="12" t="str">
        <x:v>Horloge</x:v>
      </x:c>
      <x:c r="H50" s="12" t="str">
        <x:v>L’horloge avance même quand on la regarde.</x:v>
      </x:c>
      <x:c r="I50" s="12" t="str">
        <x:v>L’aiguille s’immobilise sous son regard.</x:v>
      </x:c>
      <x:c r="J50" s="12" t="str">
        <x:v>L’aiguille poursuit sa course.</x:v>
      </x:c>
      <x:c r="K50" s="12" t="str">
        <x:v>Alterner regard direct et description du témoin.</x:v>
      </x:c>
      <x:c r="L50" s="12" t="str">
        <x:v>Fixer le cadran pendant deux secondes.</x:v>
      </x:c>
      <x:c r="M50" s="12" t="str">
        <x:v>Un arrêt déclenché par le regard est anormal.</x:v>
      </x:c>
      <x:c r="N50" s="12" t="str">
        <x:v>Le mouvement reprend lentement et reste observable sans réflexe.</x:v>
      </x:c>
      <x:c r="O50" s="12" t="str">
        <x:v>Détection d’angle et de visibilité.</x:v>
      </x:c>
      <x:c r="P50" s="12" t="str">
        <x:v>clock_stop_gaze</x:v>
      </x:c>
      <x:c r="Q50" s="16" t="n">
        <x:v>2</x:v>
      </x:c>
      <x:c r="R50" s="12" t="str">
        <x:v>Spécification originale ; effet absent du catalogue runtime v0.2.1.</x:v>
      </x:c>
      <x:c r="S50" s="18" t="str">
        <x:v>—</x:v>
      </x:c>
      <x:c r="T50" s="18" t="str">
        <x:v>—</x:v>
      </x:c>
      <x:c r="U50" s="18" t="str">
        <x:v>—</x:v>
      </x:c>
      <x:c r="V50" s="12" t="str">
        <x:v>Visuel / objet / espace</x:v>
      </x:c>
    </x:row>
    <x:row r="51" ht="40" customHeight="1">
      <x:c r="A51" s="11" t="str">
        <x:v>PX-046</x:v>
      </x:c>
      <x:c r="B51" s="11" t="str">
        <x:v>La fleur de retard</x:v>
      </x:c>
      <x:c r="C51" s="11" t="str">
        <x:v>Temps</x:v>
      </x:c>
      <x:c r="D51" s="11" t="str">
        <x:v>Prévu</x:v>
      </x:c>
      <x:c r="E51" s="13" t="str">
        <x:v>Conçu — non implémenté</x:v>
      </x:c>
      <x:c r="F51" s="17" t="n">
        <x:v>2</x:v>
      </x:c>
      <x:c r="G51" s="11" t="str">
        <x:v>Vase</x:v>
      </x:c>
      <x:c r="H51" s="11" t="str">
        <x:v>Une fleur suit immédiatement la rotation du vase.</x:v>
      </x:c>
      <x:c r="I51" s="11" t="str">
        <x:v>La fleur pivote deux secondes après le vase.</x:v>
      </x:c>
      <x:c r="J51" s="11" t="str">
        <x:v>Tout pivote en même temps.</x:v>
      </x:c>
      <x:c r="K51" s="11" t="str">
        <x:v>Un joueur tourne le vase, l’autre décrit la fleur.</x:v>
      </x:c>
      <x:c r="L51" s="11" t="str">
        <x:v>Interaction de rotation limitée.</x:v>
      </x:c>
      <x:c r="M51" s="11" t="str">
        <x:v>Un décalage physique répété confirme.</x:v>
      </x:c>
      <x:c r="N51" s="11" t="str">
        <x:v>Aucune précision de timing au milliseconde.</x:v>
      </x:c>
      <x:c r="O51" s="11" t="str">
        <x:v>Vase et tige articulée.</x:v>
      </x:c>
      <x:c r="P51" s="11" t="str">
        <x:v>flower_afterimage</x:v>
      </x:c>
      <x:c r="Q51" s="17" t="n">
        <x:v>2</x:v>
      </x:c>
      <x:c r="R51" s="11" t="str">
        <x:v>Spécification originale ; effet absent du catalogue runtime v0.2.1.</x:v>
      </x:c>
      <x:c r="S51" s="19" t="str">
        <x:v>—</x:v>
      </x:c>
      <x:c r="T51" s="19" t="str">
        <x:v>—</x:v>
      </x:c>
      <x:c r="U51" s="19" t="str">
        <x:v>—</x:v>
      </x:c>
      <x:c r="V51" s="11" t="str">
        <x:v>Visuel / objet / espace</x:v>
      </x:c>
    </x:row>
    <x:row r="52" ht="40" customHeight="1">
      <x:c r="A52" s="12" t="str">
        <x:v>PX-047</x:v>
      </x:c>
      <x:c r="B52" s="12" t="str">
        <x:v>L’ombre avant la porte</x:v>
      </x:c>
      <x:c r="C52" s="12" t="str">
        <x:v>Temps</x:v>
      </x:c>
      <x:c r="D52" s="12" t="str">
        <x:v>Prévu</x:v>
      </x:c>
      <x:c r="E52" s="13" t="str">
        <x:v>Conçu — non implémenté</x:v>
      </x:c>
      <x:c r="F52" s="16" t="n">
        <x:v>3</x:v>
      </x:c>
      <x:c r="G52" s="12" t="str">
        <x:v>Porte</x:v>
      </x:c>
      <x:c r="H52" s="12" t="str">
        <x:v>L’ombre du battant suit son mouvement.</x:v>
      </x:c>
      <x:c r="I52" s="12" t="str">
        <x:v>L’ombre s’ouvre avant le battant.</x:v>
      </x:c>
      <x:c r="J52" s="12" t="str">
        <x:v>La porte et l’ombre restent synchronisées.</x:v>
      </x:c>
      <x:c r="K52" s="12" t="str">
        <x:v>Observer le sol avant puis pendant l’ouverture volontaire.</x:v>
      </x:c>
      <x:c r="L52" s="12" t="str">
        <x:v>Interaction avec la porte témoin.</x:v>
      </x:c>
      <x:c r="M52" s="12" t="str">
        <x:v>Une ombre qui précède un geste est anormale.</x:v>
      </x:c>
      <x:c r="N52" s="12" t="str">
        <x:v>Version qualité basse avec découpé d’ombre visible.</x:v>
      </x:c>
      <x:c r="O52" s="12" t="str">
        <x:v>Projection d’ombre contrôlée.</x:v>
      </x:c>
      <x:c r="P52" s="12" t="str">
        <x:v>door_future_shadow</x:v>
      </x:c>
      <x:c r="Q52" s="16" t="n">
        <x:v>2</x:v>
      </x:c>
      <x:c r="R52" s="12" t="str">
        <x:v>Spécification originale ; effet absent du catalogue runtime v0.2.1.</x:v>
      </x:c>
      <x:c r="S52" s="18" t="str">
        <x:v>—</x:v>
      </x:c>
      <x:c r="T52" s="18" t="str">
        <x:v>—</x:v>
      </x:c>
      <x:c r="U52" s="18" t="str">
        <x:v>—</x:v>
      </x:c>
      <x:c r="V52" s="12" t="str">
        <x:v>Visuel / objet / espace</x:v>
      </x:c>
    </x:row>
    <x:row r="53" ht="40" customHeight="1">
      <x:c r="A53" s="11" t="str">
        <x:v>PX-048</x:v>
      </x:c>
      <x:c r="B53" s="11" t="str">
        <x:v>Le visage vieilli</x:v>
      </x:c>
      <x:c r="C53" s="11" t="str">
        <x:v>Temps</x:v>
      </x:c>
      <x:c r="D53" s="11" t="str">
        <x:v>Prévu</x:v>
      </x:c>
      <x:c r="E53" s="13" t="str">
        <x:v>Conçu — non implémenté</x:v>
      </x:c>
      <x:c r="F53" s="17" t="n">
        <x:v>3</x:v>
      </x:c>
      <x:c r="G53" s="11" t="str">
        <x:v>Tableau</x:v>
      </x:c>
      <x:c r="H53" s="11" t="str">
        <x:v>Le sujet de la photographie reste le même.</x:v>
      </x:c>
      <x:c r="I53" s="11" t="str">
        <x:v>Le visage vieillit progressivement.</x:v>
      </x:c>
      <x:c r="J53" s="11" t="str">
        <x:v>La photo conserve son apparence.</x:v>
      </x:c>
      <x:c r="K53" s="11" t="str">
        <x:v>Comparer yeux, cheveux et posture sur deux observations.</x:v>
      </x:c>
      <x:c r="L53" s="11" t="str">
        <x:v>Après dix secondes dans la zone.</x:v>
      </x:c>
      <x:c r="M53" s="11" t="str">
        <x:v>Une transformation du portrait est une anomalie.</x:v>
      </x:c>
      <x:c r="N53" s="11" t="str">
        <x:v>La transformation ne revient pas au normal avant le vote.</x:v>
      </x:c>
      <x:c r="O53" s="11" t="str">
        <x:v>Morphs de portrait original.</x:v>
      </x:c>
      <x:c r="P53" s="11" t="str">
        <x:v>photo_age</x:v>
      </x:c>
      <x:c r="Q53" s="17" t="n">
        <x:v>2</x:v>
      </x:c>
      <x:c r="R53" s="11" t="str">
        <x:v>Spécification originale ; effet absent du catalogue runtime v0.2.1.</x:v>
      </x:c>
      <x:c r="S53" s="19" t="str">
        <x:v>—</x:v>
      </x:c>
      <x:c r="T53" s="19" t="str">
        <x:v>—</x:v>
      </x:c>
      <x:c r="U53" s="19" t="str">
        <x:v>—</x:v>
      </x:c>
      <x:c r="V53" s="11" t="str">
        <x:v>Visuel / objet / espace</x:v>
      </x:c>
    </x:row>
    <x:row r="54" ht="40" customHeight="1">
      <x:c r="A54" s="12" t="str">
        <x:v>PX-049</x:v>
      </x:c>
      <x:c r="B54" s="12" t="str">
        <x:v>Le sablier inversé</x:v>
      </x:c>
      <x:c r="C54" s="12" t="str">
        <x:v>Physique</x:v>
      </x:c>
      <x:c r="D54" s="12" t="str">
        <x:v>Prévu</x:v>
      </x:c>
      <x:c r="E54" s="13" t="str">
        <x:v>Conçu — non implémenté</x:v>
      </x:c>
      <x:c r="F54" s="16" t="n">
        <x:v>2</x:v>
      </x:c>
      <x:c r="G54" s="12" t="str">
        <x:v>Bureau</x:v>
      </x:c>
      <x:c r="H54" s="12" t="str">
        <x:v>Le sable tombe dans la chambre inférieure.</x:v>
      </x:c>
      <x:c r="I54" s="12" t="str">
        <x:v>Le sable remonte.</x:v>
      </x:c>
      <x:c r="J54" s="12" t="str">
        <x:v>Le sable tombe normalement.</x:v>
      </x:c>
      <x:c r="K54" s="12" t="str">
        <x:v>Décrire le sens de circulation des grains.</x:v>
      </x:c>
      <x:c r="L54" s="12" t="str">
        <x:v>Persistant après entrée.</x:v>
      </x:c>
      <x:c r="M54" s="12" t="str">
        <x:v>Mouvement contraire à la gravité.</x:v>
      </x:c>
      <x:c r="N54" s="12" t="str">
        <x:v>Un flux continu lisible remplace de minuscules grains isolés.</x:v>
      </x:c>
      <x:c r="O54" s="12" t="str">
        <x:v>Sablier transparent et particules.</x:v>
      </x:c>
      <x:c r="P54" s="12" t="str">
        <x:v>sand_upward</x:v>
      </x:c>
      <x:c r="Q54" s="16" t="n">
        <x:v>2</x:v>
      </x:c>
      <x:c r="R54" s="12" t="str">
        <x:v>Spécification originale ; effet absent du catalogue runtime v0.2.1.</x:v>
      </x:c>
      <x:c r="S54" s="18" t="str">
        <x:v>—</x:v>
      </x:c>
      <x:c r="T54" s="18" t="str">
        <x:v>—</x:v>
      </x:c>
      <x:c r="U54" s="18" t="str">
        <x:v>—</x:v>
      </x:c>
      <x:c r="V54" s="12" t="str">
        <x:v>Visuel / objet / espace</x:v>
      </x:c>
    </x:row>
    <x:row r="55" ht="40" customHeight="1">
      <x:c r="A55" s="11" t="str">
        <x:v>PX-050</x:v>
      </x:c>
      <x:c r="B55" s="11" t="str">
        <x:v>La vapeur lourde</x:v>
      </x:c>
      <x:c r="C55" s="11" t="str">
        <x:v>Physique</x:v>
      </x:c>
      <x:c r="D55" s="11" t="str">
        <x:v>Prévu</x:v>
      </x:c>
      <x:c r="E55" s="13" t="str">
        <x:v>Conçu — non implémenté</x:v>
      </x:c>
      <x:c r="F55" s="17" t="n">
        <x:v>2</x:v>
      </x:c>
      <x:c r="G55" s="11" t="str">
        <x:v>Tasse</x:v>
      </x:c>
      <x:c r="H55" s="11" t="str">
        <x:v>La vapeur d’une tasse chaude monte doucement.</x:v>
      </x:c>
      <x:c r="I55" s="11" t="str">
        <x:v>La vapeur descend sous la table.</x:v>
      </x:c>
      <x:c r="J55" s="11" t="str">
        <x:v>La vapeur monte.</x:v>
      </x:c>
      <x:c r="K55" s="11" t="str">
        <x:v>Pointer la tasse puis suivre la courbe de vapeur.</x:v>
      </x:c>
      <x:c r="L55" s="11" t="str">
        <x:v>Approche de la table.</x:v>
      </x:c>
      <x:c r="M55" s="11" t="str">
        <x:v>La vapeur descendante confirme.</x:v>
      </x:c>
      <x:c r="N55" s="11" t="str">
        <x:v>Version sans particules complexes disponible en qualité basse.</x:v>
      </x:c>
      <x:c r="O55" s="11" t="str">
        <x:v>Tasse, vapeur volumétrique stylisée.</x:v>
      </x:c>
      <x:c r="P55" s="11" t="str">
        <x:v>steam_downward</x:v>
      </x:c>
      <x:c r="Q55" s="17" t="n">
        <x:v>2</x:v>
      </x:c>
      <x:c r="R55" s="11" t="str">
        <x:v>Spécification originale ; effet absent du catalogue runtime v0.2.1.</x:v>
      </x:c>
      <x:c r="S55" s="19" t="str">
        <x:v>—</x:v>
      </x:c>
      <x:c r="T55" s="19" t="str">
        <x:v>—</x:v>
      </x:c>
      <x:c r="U55" s="19" t="str">
        <x:v>—</x:v>
      </x:c>
      <x:c r="V55" s="11" t="str">
        <x:v>Visuel / objet / espace</x:v>
      </x:c>
    </x:row>
    <x:row r="56" ht="77" customHeight="1">
      <x:c r="A56" s="12" t="str">
        <x:v>PX-051</x:v>
      </x:c>
      <x:c r="B56" s="12" t="str">
        <x:v>Le souffle sous le tissu</x:v>
      </x:c>
      <x:c r="C56" s="12" t="str">
        <x:v>Organique</x:v>
      </x:c>
      <x:c r="D56" s="12" t="str">
        <x:v>Présent</x:v>
      </x:c>
      <x:c r="E56" s="13" t="str">
        <x:v>Implémenté — QA partielle</x:v>
      </x:c>
      <x:c r="F56" s="16" t="n">
        <x:v>4</x:v>
      </x:c>
      <x:c r="G56" s="12" t="str">
        <x:v>Aile blanche / paravent</x:v>
      </x:c>
      <x:c r="H56" s="12" t="str">
        <x:v>Le tissu du paravent reste immobile et plat.</x:v>
      </x:c>
      <x:c r="I56" s="12" t="str">
        <x:v>Le tissu se gonfle et se creuse sans courant d’air.</x:v>
      </x:c>
      <x:c r="J56" s="12" t="str">
        <x:v>Le même tissu reste immobile.</x:v>
      </x:c>
      <x:c r="K56" s="12" t="str">
        <x:v>Comparez la forme du tissu pendant une observation immobile.</x:v>
      </x:c>
      <x:c r="L56" s="12" t="str">
        <x:v>Effet actif dans le passage attribué ; observer sans bouger pour éviter un faux mouvement de caméra.</x:v>
      </x:c>
      <x:c r="M56" s="12" t="str">
        <x:v>Une déformation organique répétée du tissu rigide confirme.</x:v>
      </x:c>
      <x:c r="N56" s="12" t="str">
        <x:v>La preuve est visuelle et persistante. Elle ne dépend pas d’entendre une respiration ni d’ouvrir le paravent.</x:v>
      </x:c>
      <x:c r="O56" s="12" t="str">
        <x:v>Maillage de paravent déformable ; cycle lent ; ombres stables.</x:v>
      </x:c>
      <x:c r="P56" s="12" t="str">
        <x:v>curtain_breath</x:v>
      </x:c>
      <x:c r="Q56" s="16" t="n">
        <x:v>2</x:v>
      </x:c>
      <x:c r="R56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56" s="18" t="str">
        <x:v>—</x:v>
      </x:c>
      <x:c r="T56" s="18" t="str">
        <x:v>—</x:v>
      </x:c>
      <x:c r="U56" s="18" t="str">
        <x:v>Oui</x:v>
      </x:c>
      <x:c r="V56" s="12" t="str">
        <x:v>Visuel / objet / espace</x:v>
      </x:c>
    </x:row>
    <x:row r="57" ht="77" customHeight="1">
      <x:c r="A57" s="11" t="str">
        <x:v>PX-052</x:v>
      </x:c>
      <x:c r="B57" s="11" t="str">
        <x:v>Les murs respirent</x:v>
      </x:c>
      <x:c r="C57" s="11" t="str">
        <x:v>Organique</x:v>
      </x:c>
      <x:c r="D57" s="11" t="str">
        <x:v>Présent</x:v>
      </x:c>
      <x:c r="E57" s="13" t="str">
        <x:v>Implémenté — QA partielle</x:v>
      </x:c>
      <x:c r="F57" s="17" t="n">
        <x:v>4</x:v>
      </x:c>
      <x:c r="G57" s="11" t="str">
        <x:v>Mur / tous lieux</x:v>
      </x:c>
      <x:c r="H57" s="11" t="str">
        <x:v>Les parois restent rigides et immobiles.</x:v>
      </x:c>
      <x:c r="I57" s="11" t="str">
        <x:v>Une paroi se déforme au rythme d’une respiration.</x:v>
      </x:c>
      <x:c r="J57" s="11" t="str">
        <x:v>La même portion reste plane.</x:v>
      </x:c>
      <x:c r="K57" s="11" t="str">
        <x:v>Restez immobiles et décrivez le mouvement de la même paroi.</x:v>
      </x:c>
      <x:c r="L57" s="11" t="str">
        <x:v>Effet local actif pendant l’inspection ; vérifier au repère partagé.</x:v>
      </x:c>
      <x:c r="M57" s="11" t="str">
        <x:v>Une déformation répétée du mur, indépendante du regard, confirme.</x:v>
      </x:c>
      <x:c r="N57" s="11" t="str">
        <x:v>Le phénomène ne réduit pas la zone de marche et ne repousse pas un joueur différemment de ses partenaires.</x:v>
      </x:c>
      <x:c r="O57" s="11" t="str">
        <x:v>Maillage de paroi subdivisé et déformation lente ; collision commune stable.</x:v>
      </x:c>
      <x:c r="P57" s="11" t="str">
        <x:v>wall_pulse</x:v>
      </x:c>
      <x:c r="Q57" s="17" t="n">
        <x:v>2</x:v>
      </x:c>
      <x:c r="R5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57" s="19" t="str">
        <x:v>Oui</x:v>
      </x:c>
      <x:c r="T57" s="19" t="str">
        <x:v>Oui</x:v>
      </x:c>
      <x:c r="U57" s="19" t="str">
        <x:v>Oui</x:v>
      </x:c>
      <x:c r="V57" s="11" t="str">
        <x:v>Visuel / objet / espace</x:v>
      </x:c>
    </x:row>
    <x:row r="58" ht="40" customHeight="1">
      <x:c r="A58" s="12" t="str">
        <x:v>PX-053</x:v>
      </x:c>
      <x:c r="B58" s="12" t="str">
        <x:v>Les racines invitées</x:v>
      </x:c>
      <x:c r="C58" s="12" t="str">
        <x:v>Organique</x:v>
      </x:c>
      <x:c r="D58" s="12" t="str">
        <x:v>Prévu</x:v>
      </x:c>
      <x:c r="E58" s="13" t="str">
        <x:v>Conçu — non implémenté</x:v>
      </x:c>
      <x:c r="F58" s="16" t="n">
        <x:v>3</x:v>
      </x:c>
      <x:c r="G58" s="12" t="str">
        <x:v>Porte</x:v>
      </x:c>
      <x:c r="H58" s="12" t="str">
        <x:v>Le seuil de la chambre reste libre.</x:v>
      </x:c>
      <x:c r="I58" s="12" t="str">
        <x:v>Des racines avancent sous la porte.</x:v>
      </x:c>
      <x:c r="J58" s="12" t="str">
        <x:v>Aucune racine n’est visible.</x:v>
      </x:c>
      <x:c r="K58" s="12" t="str">
        <x:v>Comparer le joint de seuil et le tapis voisin.</x:v>
      </x:c>
      <x:c r="L58" s="12" t="str">
        <x:v>Croissance lente lors de l’inspection.</x:v>
      </x:c>
      <x:c r="M58" s="12" t="str">
        <x:v>Les racines ajoutées constituent l’anomalie.</x:v>
      </x:c>
      <x:c r="N58" s="12" t="str">
        <x:v>Les racines ne rendent jamais l’issue inaccessible.</x:v>
      </x:c>
      <x:c r="O58" s="12" t="str">
        <x:v>Courbes tubulaires et croissance locale.</x:v>
      </x:c>
      <x:c r="P58" s="12" t="str">
        <x:v>root_under_door</x:v>
      </x:c>
      <x:c r="Q58" s="16" t="n">
        <x:v>2</x:v>
      </x:c>
      <x:c r="R58" s="12" t="str">
        <x:v>Spécification originale ; effet absent du catalogue runtime v0.2.1.</x:v>
      </x:c>
      <x:c r="S58" s="18" t="str">
        <x:v>—</x:v>
      </x:c>
      <x:c r="T58" s="18" t="str">
        <x:v>—</x:v>
      </x:c>
      <x:c r="U58" s="18" t="str">
        <x:v>—</x:v>
      </x:c>
      <x:c r="V58" s="12" t="str">
        <x:v>Visuel / objet / espace</x:v>
      </x:c>
    </x:row>
    <x:row r="59" ht="40" customHeight="1">
      <x:c r="A59" s="11" t="str">
        <x:v>PX-054</x:v>
      </x:c>
      <x:c r="B59" s="11" t="str">
        <x:v>L’humidité ascendante</x:v>
      </x:c>
      <x:c r="C59" s="11" t="str">
        <x:v>Physique</x:v>
      </x:c>
      <x:c r="D59" s="11" t="str">
        <x:v>Prévu</x:v>
      </x:c>
      <x:c r="E59" s="13" t="str">
        <x:v>Conçu — non implémenté</x:v>
      </x:c>
      <x:c r="F59" s="17" t="n">
        <x:v>3</x:v>
      </x:c>
      <x:c r="G59" s="11" t="str">
        <x:v>Couloir</x:v>
      </x:c>
      <x:c r="H59" s="11" t="str">
        <x:v>Aucune eau ne coule sur le mur.</x:v>
      </x:c>
      <x:c r="I59" s="11" t="str">
        <x:v>Des gouttes montent le long du panneau.</x:v>
      </x:c>
      <x:c r="J59" s="11" t="str">
        <x:v>Le panneau est sec.</x:v>
      </x:c>
      <x:c r="K59" s="11" t="str">
        <x:v>Observer un trajet complet de goutte.</x:v>
      </x:c>
      <x:c r="L59" s="11" t="str">
        <x:v>Persistant à partir du début du tour.</x:v>
      </x:c>
      <x:c r="M59" s="11" t="str">
        <x:v>Toute humidité ajoutée et ascendante confirme.</x:v>
      </x:c>
      <x:c r="N59" s="11" t="str">
        <x:v>Pas de transparence dépendante d’un reflet avancé pour détecter.</x:v>
      </x:c>
      <x:c r="O59" s="11" t="str">
        <x:v>Gouttes, roughness animée, traînée.</x:v>
      </x:c>
      <x:c r="P59" s="11" t="str">
        <x:v>water_up_wall</x:v>
      </x:c>
      <x:c r="Q59" s="17" t="n">
        <x:v>2</x:v>
      </x:c>
      <x:c r="R59" s="11" t="str">
        <x:v>Spécification originale ; effet absent du catalogue runtime v0.2.1.</x:v>
      </x:c>
      <x:c r="S59" s="19" t="str">
        <x:v>—</x:v>
      </x:c>
      <x:c r="T59" s="19" t="str">
        <x:v>—</x:v>
      </x:c>
      <x:c r="U59" s="19" t="str">
        <x:v>—</x:v>
      </x:c>
      <x:c r="V59" s="11" t="str">
        <x:v>Visuel / objet / espace</x:v>
      </x:c>
    </x:row>
    <x:row r="60" ht="40" customHeight="1">
      <x:c r="A60" s="12" t="str">
        <x:v>PX-055</x:v>
      </x:c>
      <x:c r="B60" s="12" t="str">
        <x:v>La cinquième chambre</x:v>
      </x:c>
      <x:c r="C60" s="12" t="str">
        <x:v>Architecture</x:v>
      </x:c>
      <x:c r="D60" s="12" t="str">
        <x:v>Prévu</x:v>
      </x:c>
      <x:c r="E60" s="13" t="str">
        <x:v>Conçu — non implémenté</x:v>
      </x:c>
      <x:c r="F60" s="16" t="n">
        <x:v>2</x:v>
      </x:c>
      <x:c r="G60" s="12" t="str">
        <x:v>Couloir</x:v>
      </x:c>
      <x:c r="H60" s="12" t="str">
        <x:v>Le passage comporte quatre portes numérotées.</x:v>
      </x:c>
      <x:c r="I60" s="12" t="str">
        <x:v>Une cinquième porte apparaît entre deux panneaux.</x:v>
      </x:c>
      <x:c r="J60" s="12" t="str">
        <x:v>Il en compte quatre.</x:v>
      </x:c>
      <x:c r="K60" s="12" t="str">
        <x:v>Compter depuis l’entrée en alternant gauche puis droite.</x:v>
      </x:c>
      <x:c r="L60" s="12" t="str">
        <x:v>À l’entrée du tour.</x:v>
      </x:c>
      <x:c r="M60" s="12" t="str">
        <x:v>Une ouverture supplémentaire confirme.</x:v>
      </x:c>
      <x:c r="N60" s="12" t="str">
        <x:v>La porte fantôme ne change pas le trajet physique commun.</x:v>
      </x:c>
      <x:c r="O60" s="12" t="str">
        <x:v>Module de porte et panneau local.</x:v>
      </x:c>
      <x:c r="P60" s="12" t="str">
        <x:v>extra_door</x:v>
      </x:c>
      <x:c r="Q60" s="16" t="n">
        <x:v>2</x:v>
      </x:c>
      <x:c r="R60" s="12" t="str">
        <x:v>Spécification originale ; effet absent du catalogue runtime v0.2.1.</x:v>
      </x:c>
      <x:c r="S60" s="18" t="str">
        <x:v>—</x:v>
      </x:c>
      <x:c r="T60" s="18" t="str">
        <x:v>—</x:v>
      </x:c>
      <x:c r="U60" s="18" t="str">
        <x:v>—</x:v>
      </x:c>
      <x:c r="V60" s="12" t="str">
        <x:v>Visuel / objet / espace</x:v>
      </x:c>
    </x:row>
    <x:row r="61" ht="77" customHeight="1">
      <x:c r="A61" s="11" t="str">
        <x:v>PX-056</x:v>
      </x:c>
      <x:c r="B61" s="11" t="str">
        <x:v>Le plafond rapproché</x:v>
      </x:c>
      <x:c r="C61" s="11" t="str">
        <x:v>Architecture</x:v>
      </x:c>
      <x:c r="D61" s="11" t="str">
        <x:v>Présent</x:v>
      </x:c>
      <x:c r="E61" s="13" t="str">
        <x:v>Implémenté — QA partielle</x:v>
      </x:c>
      <x:c r="F61" s="17" t="n">
        <x:v>4</x:v>
      </x:c>
      <x:c r="G61" s="11" t="str">
        <x:v>Plafond / tous lieux</x:v>
      </x:c>
      <x:c r="H61" s="11" t="str">
        <x:v>Le plafond garde la hauteur observée pendant la référence.</x:v>
      </x:c>
      <x:c r="I61" s="11" t="str">
        <x:v>Le plafond descend anormalement dans une perception.</x:v>
      </x:c>
      <x:c r="J61" s="11" t="str">
        <x:v>L’espace au-dessus des mêmes chambranles reste normal.</x:v>
      </x:c>
      <x:c r="K61" s="11" t="str">
        <x:v>Comparez l’espace au-dessus des portes et votre distance au plafond.</x:v>
      </x:c>
      <x:c r="L61" s="11" t="str">
        <x:v>Perception attribuée en début de passage ; preuve observable en levant le regard.</x:v>
      </x:c>
      <x:c r="M61" s="11" t="str">
        <x:v>Une hauteur réellement différente dans le décor perçu confirme.</x:v>
      </x:c>
      <x:c r="N61" s="11" t="str">
        <x:v>Aucun écrasement ni collision punitive. Garder l’issue visible et le vote accessible.</x:v>
      </x:c>
      <x:c r="O61" s="11" t="str">
        <x:v>Plafond local repositionné ; lumière et murs raccordés pour garder une preuve claire.</x:v>
      </x:c>
      <x:c r="P61" s="11" t="str">
        <x:v>ceiling_lower</x:v>
      </x:c>
      <x:c r="Q61" s="17" t="n">
        <x:v>2</x:v>
      </x:c>
      <x:c r="R61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61" s="19" t="str">
        <x:v>Oui</x:v>
      </x:c>
      <x:c r="T61" s="19" t="str">
        <x:v>Oui</x:v>
      </x:c>
      <x:c r="U61" s="19" t="str">
        <x:v>Oui</x:v>
      </x:c>
      <x:c r="V61" s="11" t="str">
        <x:v>Visuel / objet / espace</x:v>
      </x:c>
    </x:row>
    <x:row r="62" ht="40" customHeight="1">
      <x:c r="A62" s="12" t="str">
        <x:v>PX-057</x:v>
      </x:c>
      <x:c r="B62" s="12" t="str">
        <x:v>Les mètres supplémentaires</x:v>
      </x:c>
      <x:c r="C62" s="12" t="str">
        <x:v>Architecture</x:v>
      </x:c>
      <x:c r="D62" s="12" t="str">
        <x:v>Prévu</x:v>
      </x:c>
      <x:c r="E62" s="13" t="str">
        <x:v>Conçu — non implémenté</x:v>
      </x:c>
      <x:c r="F62" s="16" t="n">
        <x:v>3</x:v>
      </x:c>
      <x:c r="G62" s="12" t="str">
        <x:v>Couloir</x:v>
      </x:c>
      <x:c r="H62" s="12" t="str">
        <x:v>Le même nombre de panneaux sépare entrée et issue.</x:v>
      </x:c>
      <x:c r="I62" s="12" t="str">
        <x:v>Le couloir semble plus long.</x:v>
      </x:c>
      <x:c r="J62" s="12" t="str">
        <x:v>Les proportions normales persistent.</x:v>
      </x:c>
      <x:c r="K62" s="12" t="str">
        <x:v>Compter les panneaux visibles, puis comparer les positions des pairs.</x:v>
      </x:c>
      <x:c r="L62" s="12" t="str">
        <x:v>Entrer dans la zone centrale.</x:v>
      </x:c>
      <x:c r="M62" s="12" t="str">
        <x:v>Une longueur perçue incompatible avec les repères communs confirme.</x:v>
      </x:c>
      <x:c r="N62" s="12" t="str">
        <x:v>À produire seulement après tests de locomotion et motion sickness.</x:v>
      </x:c>
      <x:c r="O62" s="12" t="str">
        <x:v>Dilatation visuelle et ancrages de réseau distincts.</x:v>
      </x:c>
      <x:c r="P62" s="12" t="str">
        <x:v>hall_stretch</x:v>
      </x:c>
      <x:c r="Q62" s="16" t="n">
        <x:v>2</x:v>
      </x:c>
      <x:c r="R62" s="12" t="str">
        <x:v>Spécification originale ; effet absent du catalogue runtime v0.2.1.</x:v>
      </x:c>
      <x:c r="S62" s="18" t="str">
        <x:v>—</x:v>
      </x:c>
      <x:c r="T62" s="18" t="str">
        <x:v>—</x:v>
      </x:c>
      <x:c r="U62" s="18" t="str">
        <x:v>—</x:v>
      </x:c>
      <x:c r="V62" s="12" t="str">
        <x:v>Visuel / objet / espace</x:v>
      </x:c>
    </x:row>
    <x:row r="63" ht="40" customHeight="1">
      <x:c r="A63" s="11" t="str">
        <x:v>PX-058</x:v>
      </x:c>
      <x:c r="B63" s="11" t="str">
        <x:v>L’escalier absent</x:v>
      </x:c>
      <x:c r="C63" s="11" t="str">
        <x:v>Architecture</x:v>
      </x:c>
      <x:c r="D63" s="11" t="str">
        <x:v>Prévu</x:v>
      </x:c>
      <x:c r="E63" s="13" t="str">
        <x:v>Conçu — non implémenté</x:v>
      </x:c>
      <x:c r="F63" s="17" t="n">
        <x:v>3</x:v>
      </x:c>
      <x:c r="G63" s="11" t="str">
        <x:v>Palier</x:v>
      </x:c>
      <x:c r="H63" s="11" t="str">
        <x:v>Le mur du palier reçoit une ombre de rampe régulière.</x:v>
      </x:c>
      <x:c r="I63" s="11" t="str">
        <x:v>Il voit l’ombre d’un escalier montant qui n’existe pas.</x:v>
      </x:c>
      <x:c r="J63" s="11" t="str">
        <x:v>L’ombre normale demeure.</x:v>
      </x:c>
      <x:c r="K63" s="11" t="str">
        <x:v>Comparer projection et géométrie réelle.</x:v>
      </x:c>
      <x:c r="L63" s="11" t="str">
        <x:v>Sous une applique précise.</x:v>
      </x:c>
      <x:c r="M63" s="11" t="str">
        <x:v>Un escalier uniquement présent dans l’ombre confirme.</x:v>
      </x:c>
      <x:c r="N63" s="11" t="str">
        <x:v>La preuve n’exige pas de saut ou de chute.</x:v>
      </x:c>
      <x:c r="O63" s="11" t="str">
        <x:v>Ombre projetée dessinée et palier.</x:v>
      </x:c>
      <x:c r="P63" s="11" t="str">
        <x:v>stair_wrong_shadow</x:v>
      </x:c>
      <x:c r="Q63" s="17" t="n">
        <x:v>2</x:v>
      </x:c>
      <x:c r="R63" s="11" t="str">
        <x:v>Spécification originale ; effet absent du catalogue runtime v0.2.1.</x:v>
      </x:c>
      <x:c r="S63" s="19" t="str">
        <x:v>—</x:v>
      </x:c>
      <x:c r="T63" s="19" t="str">
        <x:v>—</x:v>
      </x:c>
      <x:c r="U63" s="19" t="str">
        <x:v>—</x:v>
      </x:c>
      <x:c r="V63" s="11" t="str">
        <x:v>Visuel / objet / espace</x:v>
      </x:c>
    </x:row>
    <x:row r="64" ht="40" customHeight="1">
      <x:c r="A64" s="12" t="str">
        <x:v>PX-059</x:v>
      </x:c>
      <x:c r="B64" s="12" t="str">
        <x:v>La chambre du reflet</x:v>
      </x:c>
      <x:c r="C64" s="12" t="str">
        <x:v>Reflet</x:v>
      </x:c>
      <x:c r="D64" s="12" t="str">
        <x:v>Prévu</x:v>
      </x:c>
      <x:c r="E64" s="13" t="str">
        <x:v>Conçu — non implémenté</x:v>
      </x:c>
      <x:c r="F64" s="16" t="n">
        <x:v>4</x:v>
      </x:c>
      <x:c r="G64" s="12" t="str">
        <x:v>Miroir</x:v>
      </x:c>
      <x:c r="H64" s="12" t="str">
        <x:v>Le miroir ne montre aucune porte supplémentaire.</x:v>
      </x:c>
      <x:c r="I64" s="12" t="str">
        <x:v>Une porte existe dans le reflet derrière l’équipe.</x:v>
      </x:c>
      <x:c r="J64" s="12" t="str">
        <x:v>Le miroir montre le panneau ordinaire.</x:v>
      </x:c>
      <x:c r="K64" s="12" t="str">
        <x:v>Se retourner puis comparer le reflet.</x:v>
      </x:c>
      <x:c r="L64" s="12" t="str">
        <x:v>Approche à moins de deux mètres.</x:v>
      </x:c>
      <x:c r="M64" s="12" t="str">
        <x:v>Porte absente de la pièce réelle mais présente dans le miroir.</x:v>
      </x:c>
      <x:c r="N64" s="12" t="str">
        <x:v>Tester les angles extrêmes pour éviter de confondre clipping et anomalie.</x:v>
      </x:c>
      <x:c r="O64" s="12" t="str">
        <x:v>Scène de reflet dédiée.</x:v>
      </x:c>
      <x:c r="P64" s="12" t="str">
        <x:v>mirror_extra_door</x:v>
      </x:c>
      <x:c r="Q64" s="16" t="n">
        <x:v>2</x:v>
      </x:c>
      <x:c r="R64" s="12" t="str">
        <x:v>Spécification originale ; effet absent du catalogue runtime v0.2.1.</x:v>
      </x:c>
      <x:c r="S64" s="18" t="str">
        <x:v>—</x:v>
      </x:c>
      <x:c r="T64" s="18" t="str">
        <x:v>—</x:v>
      </x:c>
      <x:c r="U64" s="18" t="str">
        <x:v>—</x:v>
      </x:c>
      <x:c r="V64" s="12" t="str">
        <x:v>Visuel / objet / espace</x:v>
      </x:c>
    </x:row>
    <x:row r="65" ht="77" customHeight="1">
      <x:c r="A65" s="11" t="str">
        <x:v>PX-060</x:v>
      </x:c>
      <x:c r="B65" s="11" t="str">
        <x:v>Le salut tardif</x:v>
      </x:c>
      <x:c r="C65" s="11" t="str">
        <x:v>Reflet</x:v>
      </x:c>
      <x:c r="D65" s="11" t="str">
        <x:v>Présent</x:v>
      </x:c>
      <x:c r="E65" s="13" t="str">
        <x:v>Implémenté — QA partielle</x:v>
      </x:c>
      <x:c r="F65" s="17" t="n">
        <x:v>5</x:v>
      </x:c>
      <x:c r="G65" s="11" t="str">
        <x:v>Miroir commun</x:v>
      </x:c>
      <x:c r="H65" s="11" t="str">
        <x:v>Le reflet suit uniquement les gestes du joueur.</x:v>
      </x:c>
      <x:c r="I65" s="11" t="str">
        <x:v>Votre reflet poursuit un mouvement qui ne correspond pas au vôtre.</x:v>
      </x:c>
      <x:c r="J65" s="11" t="str">
        <x:v>Le corps et le reflet conservent la même posture.</x:v>
      </x:c>
      <x:c r="K65" s="11" t="str">
        <x:v>Restez immobile puis décrivez le comportement de votre reflet.</x:v>
      </x:c>
      <x:c r="L65" s="11" t="str">
        <x:v>Immobilité commune trois secondes.</x:v>
      </x:c>
      <x:c r="M65" s="11" t="str">
        <x:v>Un geste autonome du reflet local constitue la preuve.</x:v>
      </x:c>
      <x:c r="N65" s="11" t="str">
        <x:v>Le geste reste répétable. Il ne dépend ni de la webcam ni du délai de pose d’un joueur distant.</x:v>
      </x:c>
      <x:c r="O65" s="11" t="str">
        <x:v>Corps articulé, animation de salut et caméra planaire.</x:v>
      </x:c>
      <x:c r="P65" s="11" t="str">
        <x:v>reflection_independent</x:v>
      </x:c>
      <x:c r="Q65" s="17" t="n">
        <x:v>2</x:v>
      </x:c>
      <x:c r="R65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65" s="19" t="str">
        <x:v>Oui</x:v>
      </x:c>
      <x:c r="T65" s="19" t="str">
        <x:v>Oui</x:v>
      </x:c>
      <x:c r="U65" s="19" t="str">
        <x:v>Oui</x:v>
      </x:c>
      <x:c r="V65" s="11" t="str">
        <x:v>Corps / reflet / mouvement</x:v>
      </x:c>
    </x:row>
    <x:row r="66" ht="40" customHeight="1">
      <x:c r="A66" s="12" t="str">
        <x:v>PX-061</x:v>
      </x:c>
      <x:c r="B66" s="12" t="str">
        <x:v>Le groupe absent</x:v>
      </x:c>
      <x:c r="C66" s="12" t="str">
        <x:v>Reflet</x:v>
      </x:c>
      <x:c r="D66" s="12" t="str">
        <x:v>Prévu</x:v>
      </x:c>
      <x:c r="E66" s="13" t="str">
        <x:v>Conçu — non implémenté</x:v>
      </x:c>
      <x:c r="F66" s="16" t="n">
        <x:v>4</x:v>
      </x:c>
      <x:c r="G66" s="12" t="str">
        <x:v>Miroir</x:v>
      </x:c>
      <x:c r="H66" s="12" t="str">
        <x:v>Les silhouettes de l’équipe sont représentées.</x:v>
      </x:c>
      <x:c r="I66" s="12" t="str">
        <x:v>Son miroir ne montre que lui.</x:v>
      </x:c>
      <x:c r="J66" s="12" t="str">
        <x:v>Le miroir montre toute l’équipe.</x:v>
      </x:c>
      <x:c r="K66" s="12" t="str">
        <x:v>Compter les personnes devant et dans le miroir.</x:v>
      </x:c>
      <x:c r="L66" s="12" t="str">
        <x:v>Deux inspecteurs dans la zone de réflexion.</x:v>
      </x:c>
      <x:c r="M66" s="12" t="str">
        <x:v>Le compte incohérent révèle l’anomalie.</x:v>
      </x:c>
      <x:c r="N66" s="12" t="str">
        <x:v>Remplacer par mannequins témoins en entraînement solo.</x:v>
      </x:c>
      <x:c r="O66" s="12" t="str">
        <x:v>Reflet par observateur, avatars simplifiés.</x:v>
      </x:c>
      <x:c r="P66" s="12" t="str">
        <x:v>reflection_no_team</x:v>
      </x:c>
      <x:c r="Q66" s="16" t="n">
        <x:v>2</x:v>
      </x:c>
      <x:c r="R66" s="12" t="str">
        <x:v>Spécification originale ; effet absent du catalogue runtime v0.2.1.</x:v>
      </x:c>
      <x:c r="S66" s="18" t="str">
        <x:v>—</x:v>
      </x:c>
      <x:c r="T66" s="18" t="str">
        <x:v>—</x:v>
      </x:c>
      <x:c r="U66" s="18" t="str">
        <x:v>—</x:v>
      </x:c>
      <x:c r="V66" s="12" t="str">
        <x:v>Corps / reflet / mouvement</x:v>
      </x:c>
    </x:row>
    <x:row r="67" ht="40" customHeight="1">
      <x:c r="A67" s="11" t="str">
        <x:v>PX-062</x:v>
      </x:c>
      <x:c r="B67" s="11" t="str">
        <x:v>L’ombre accusatrice</x:v>
      </x:c>
      <x:c r="C67" s="11" t="str">
        <x:v>Entité</x:v>
      </x:c>
      <x:c r="D67" s="11" t="str">
        <x:v>Prévu</x:v>
      </x:c>
      <x:c r="E67" s="13" t="str">
        <x:v>Conçu — non implémenté</x:v>
      </x:c>
      <x:c r="F67" s="17" t="n">
        <x:v>4</x:v>
      </x:c>
      <x:c r="G67" s="11" t="str">
        <x:v>Couloir</x:v>
      </x:c>
      <x:c r="H67" s="11" t="str">
        <x:v>L’ombre de l’inspecteur suit sa posture.</x:v>
      </x:c>
      <x:c r="I67" s="11" t="str">
        <x:v>Son ombre pointe vers un équipier.</x:v>
      </x:c>
      <x:c r="J67" s="11" t="str">
        <x:v>L’ombre reste neutre.</x:v>
      </x:c>
      <x:c r="K67" s="11" t="str">
        <x:v>Arrêter les mouvements et comparer l’orientation du bras.</x:v>
      </x:c>
      <x:c r="L67" s="11" t="str">
        <x:v>Tous les joueurs au repère central.</x:v>
      </x:c>
      <x:c r="M67" s="11" t="str">
        <x:v>Une ombre autonome confirme.</x:v>
      </x:c>
      <x:c r="N67" s="11" t="str">
        <x:v>La cible n’est pas le joueur fautif. Aucune mécanique de blâme.</x:v>
      </x:c>
      <x:c r="O67" s="11" t="str">
        <x:v>Projection d’avatar et bras animé.</x:v>
      </x:c>
      <x:c r="P67" s="11" t="str">
        <x:v>shadow_points</x:v>
      </x:c>
      <x:c r="Q67" s="17" t="n">
        <x:v>2</x:v>
      </x:c>
      <x:c r="R67" s="11" t="str">
        <x:v>Spécification originale ; effet absent du catalogue runtime v0.2.1.</x:v>
      </x:c>
      <x:c r="S67" s="19" t="str">
        <x:v>—</x:v>
      </x:c>
      <x:c r="T67" s="19" t="str">
        <x:v>—</x:v>
      </x:c>
      <x:c r="U67" s="19" t="str">
        <x:v>—</x:v>
      </x:c>
      <x:c r="V67" s="11" t="str">
        <x:v>Visuel / objet / espace</x:v>
      </x:c>
    </x:row>
    <x:row r="68" ht="40" customHeight="1">
      <x:c r="A68" s="12" t="str">
        <x:v>PX-063</x:v>
      </x:c>
      <x:c r="B68" s="12" t="str">
        <x:v>Le mannequin à l’écoute</x:v>
      </x:c>
      <x:c r="C68" s="12" t="str">
        <x:v>Entité</x:v>
      </x:c>
      <x:c r="D68" s="12" t="str">
        <x:v>Prévu</x:v>
      </x:c>
      <x:c r="E68" s="13" t="str">
        <x:v>Conçu — non implémenté</x:v>
      </x:c>
      <x:c r="F68" s="16" t="n">
        <x:v>4</x:v>
      </x:c>
      <x:c r="G68" s="12" t="str">
        <x:v>Vitrine</x:v>
      </x:c>
      <x:c r="H68" s="12" t="str">
        <x:v>Le mannequin regarde toujours vers la fenêtre.</x:v>
      </x:c>
      <x:c r="I68" s="12" t="str">
        <x:v>Sa tête se tourne vers les voix du groupe.</x:v>
      </x:c>
      <x:c r="J68" s="12" t="str">
        <x:v>La tête conserve sa position.</x:v>
      </x:c>
      <x:c r="K68" s="12" t="str">
        <x:v>Décrire orientation et angle du menton.</x:v>
      </x:c>
      <x:c r="L68" s="12" t="str">
        <x:v>Message texte envoyé ou bouton de test sonore, sans analyse micro.</x:v>
      </x:c>
      <x:c r="M68" s="12" t="str">
        <x:v>La rotation absente de la référence confirme.</x:v>
      </x:c>
      <x:c r="N68" s="12" t="str">
        <x:v>Le chat texte permet de déclencher sans microphone.</x:v>
      </x:c>
      <x:c r="O68" s="12" t="str">
        <x:v>Mannequin détaillé et rig de tête.</x:v>
      </x:c>
      <x:c r="P68" s="12" t="str">
        <x:v>mannequin_turns</x:v>
      </x:c>
      <x:c r="Q68" s="16" t="n">
        <x:v>2</x:v>
      </x:c>
      <x:c r="R68" s="12" t="str">
        <x:v>Spécification originale ; effet absent du catalogue runtime v0.2.1.</x:v>
      </x:c>
      <x:c r="S68" s="18" t="str">
        <x:v>—</x:v>
      </x:c>
      <x:c r="T68" s="18" t="str">
        <x:v>—</x:v>
      </x:c>
      <x:c r="U68" s="18" t="str">
        <x:v>—</x:v>
      </x:c>
      <x:c r="V68" s="12" t="str">
        <x:v>Visuel / objet / espace</x:v>
      </x:c>
    </x:row>
    <x:row r="69" ht="40" customHeight="1">
      <x:c r="A69" s="11" t="str">
        <x:v>PX-064</x:v>
      </x:c>
      <x:c r="B69" s="11" t="str">
        <x:v>Les pas renversés</x:v>
      </x:c>
      <x:c r="C69" s="11" t="str">
        <x:v>Entité</x:v>
      </x:c>
      <x:c r="D69" s="11" t="str">
        <x:v>Prévu</x:v>
      </x:c>
      <x:c r="E69" s="13" t="str">
        <x:v>Conçu — non implémenté</x:v>
      </x:c>
      <x:c r="F69" s="17" t="n">
        <x:v>5</x:v>
      </x:c>
      <x:c r="G69" s="11" t="str">
        <x:v>Plafond</x:v>
      </x:c>
      <x:c r="H69" s="11" t="str">
        <x:v>Le plafond est vide.</x:v>
      </x:c>
      <x:c r="I69" s="11" t="str">
        <x:v>Une silhouette marche lentement au plafond.</x:v>
      </x:c>
      <x:c r="J69" s="11" t="str">
        <x:v>Il n’y a aucune silhouette.</x:v>
      </x:c>
      <x:c r="K69" s="11" t="str">
        <x:v>Donner sa position au-dessus de la porte ou de l’applique.</x:v>
      </x:c>
      <x:c r="L69" s="11" t="str">
        <x:v>Début de seconde moitié de parcours.</x:v>
      </x:c>
      <x:c r="M69" s="11" t="str">
        <x:v>L’entité peut être signalée immédiatement.</x:v>
      </x:c>
      <x:c r="N69" s="11" t="str">
        <x:v>Pas de poursuite obligatoire. Animation lente non stroboscopique.</x:v>
      </x:c>
      <x:c r="O69" s="11" t="str">
        <x:v>Silhouette riggée, animation inversée.</x:v>
      </x:c>
      <x:c r="P69" s="11" t="str">
        <x:v>ceiling_walker</x:v>
      </x:c>
      <x:c r="Q69" s="17" t="n">
        <x:v>2</x:v>
      </x:c>
      <x:c r="R69" s="11" t="str">
        <x:v>Spécification originale ; effet absent du catalogue runtime v0.2.1.</x:v>
      </x:c>
      <x:c r="S69" s="19" t="str">
        <x:v>—</x:v>
      </x:c>
      <x:c r="T69" s="19" t="str">
        <x:v>—</x:v>
      </x:c>
      <x:c r="U69" s="19" t="str">
        <x:v>—</x:v>
      </x:c>
      <x:c r="V69" s="11" t="str">
        <x:v>Visuel / objet / espace</x:v>
      </x:c>
    </x:row>
    <x:row r="70" ht="40" customHeight="1">
      <x:c r="A70" s="12" t="str">
        <x:v>PX-065</x:v>
      </x:c>
      <x:c r="B70" s="12" t="str">
        <x:v>Le passager qui reste</x:v>
      </x:c>
      <x:c r="C70" s="12" t="str">
        <x:v>Entité</x:v>
      </x:c>
      <x:c r="D70" s="12" t="str">
        <x:v>Prévu</x:v>
      </x:c>
      <x:c r="E70" s="13" t="str">
        <x:v>Conçu — non implémenté</x:v>
      </x:c>
      <x:c r="F70" s="16" t="n">
        <x:v>4</x:v>
      </x:c>
      <x:c r="G70" s="12" t="str">
        <x:v>Ascenseur</x:v>
      </x:c>
      <x:c r="H70" s="12" t="str">
        <x:v>L’ascenseur ouvert est vide.</x:v>
      </x:c>
      <x:c r="I70" s="12" t="str">
        <x:v>Un occupant est visible puis demeure dans l’encadrement.</x:v>
      </x:c>
      <x:c r="J70" s="12" t="str">
        <x:v>La cabine est vide.</x:v>
      </x:c>
      <x:c r="K70" s="12" t="str">
        <x:v>Comparer la place du passager par rapport au panneau des étages.</x:v>
      </x:c>
      <x:c r="L70" s="12" t="str">
        <x:v>Ouverture de l’ascenseur.</x:v>
      </x:c>
      <x:c r="M70" s="12" t="str">
        <x:v>L’occupant inédit confirme.</x:v>
      </x:c>
      <x:c r="N70" s="12" t="str">
        <x:v>Persistance d’au moins dix secondes, aucun indice d’une seule image.</x:v>
      </x:c>
      <x:c r="O70" s="12" t="str">
        <x:v>Personnage original et ascenseur.</x:v>
      </x:c>
      <x:c r="P70" s="12" t="str">
        <x:v>visitor_one_frame</x:v>
      </x:c>
      <x:c r="Q70" s="16" t="n">
        <x:v>2</x:v>
      </x:c>
      <x:c r="R70" s="12" t="str">
        <x:v>Spécification originale ; effet absent du catalogue runtime v0.2.1.</x:v>
      </x:c>
      <x:c r="S70" s="18" t="str">
        <x:v>—</x:v>
      </x:c>
      <x:c r="T70" s="18" t="str">
        <x:v>—</x:v>
      </x:c>
      <x:c r="U70" s="18" t="str">
        <x:v>—</x:v>
      </x:c>
      <x:c r="V70" s="12" t="str">
        <x:v>Visuel / objet / espace</x:v>
      </x:c>
    </x:row>
    <x:row r="71" ht="77" customHeight="1">
      <x:c r="A71" s="11" t="str">
        <x:v>PX-066</x:v>
      </x:c>
      <x:c r="B71" s="11" t="str">
        <x:v>Le bagage vivant</x:v>
      </x:c>
      <x:c r="C71" s="11" t="str">
        <x:v>Organique</x:v>
      </x:c>
      <x:c r="D71" s="11" t="str">
        <x:v>Présent</x:v>
      </x:c>
      <x:c r="E71" s="13" t="str">
        <x:v>Implémenté — QA partielle</x:v>
      </x:c>
      <x:c r="F71" s="17" t="n">
        <x:v>4</x:v>
      </x:c>
      <x:c r="G71" s="11" t="str">
        <x:v>Saint-Clair / chariot</x:v>
      </x:c>
      <x:c r="H71" s="11" t="str">
        <x:v>La valise sur le chariot reste immobile.</x:v>
      </x:c>
      <x:c r="I71" s="11" t="str">
        <x:v>Le bagage se soulève et se contracte comme s’il respirait.</x:v>
      </x:c>
      <x:c r="J71" s="11" t="str">
        <x:v>La valise du même chariot reste inerte.</x:v>
      </x:c>
      <x:c r="K71" s="11" t="str">
        <x:v>Observez ensemble le même bagage pendant quelques secondes.</x:v>
      </x:c>
      <x:c r="L71" s="11" t="str">
        <x:v>Inspection du bagage présent sur le chariot.</x:v>
      </x:c>
      <x:c r="M71" s="11" t="str">
        <x:v>Mouvement autonome répété du chargement, alors que le chariot reste stable.</x:v>
      </x:c>
      <x:c r="N71" s="11" t="str">
        <x:v>Ne pas exiger d’ouvrir la valise ; aucun corps ni blessure graphique. Le son n’est pas nécessaire.</x:v>
      </x:c>
      <x:c r="O71" s="11" t="str">
        <x:v>Maillage de valise animé ; poignée et coutures solidaires de la déformation.</x:v>
      </x:c>
      <x:c r="P71" s="11" t="str">
        <x:v>luggage_breath</x:v>
      </x:c>
      <x:c r="Q71" s="17" t="n">
        <x:v>2</x:v>
      </x:c>
      <x:c r="R71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71" s="19" t="str">
        <x:v>Oui</x:v>
      </x:c>
      <x:c r="T71" s="19" t="str">
        <x:v>—</x:v>
      </x:c>
      <x:c r="U71" s="19" t="str">
        <x:v>—</x:v>
      </x:c>
      <x:c r="V71" s="11" t="str">
        <x:v>Visuel / objet / espace</x:v>
      </x:c>
    </x:row>
    <x:row r="72" ht="40" customHeight="1">
      <x:c r="A72" s="12" t="str">
        <x:v>PX-067</x:v>
      </x:c>
      <x:c r="B72" s="12" t="str">
        <x:v>Le manteau de service</x:v>
      </x:c>
      <x:c r="C72" s="12" t="str">
        <x:v>Entité</x:v>
      </x:c>
      <x:c r="D72" s="12" t="str">
        <x:v>Prévu</x:v>
      </x:c>
      <x:c r="E72" s="13" t="str">
        <x:v>Conçu — non implémenté</x:v>
      </x:c>
      <x:c r="F72" s="16" t="n">
        <x:v>3</x:v>
      </x:c>
      <x:c r="G72" s="12" t="str">
        <x:v>Vestiaire</x:v>
      </x:c>
      <x:c r="H72" s="12" t="str">
        <x:v>Un manteau est suspendu à son crochet.</x:v>
      </x:c>
      <x:c r="I72" s="12" t="str">
        <x:v>Le manteau se tient debout, vide.</x:v>
      </x:c>
      <x:c r="J72" s="12" t="str">
        <x:v>Il reste suspendu.</x:v>
      </x:c>
      <x:c r="K72" s="12" t="str">
        <x:v>Comparer les épaules, le crochet et le contact au sol.</x:v>
      </x:c>
      <x:c r="L72" s="12" t="str">
        <x:v>À l’entrée du tour.</x:v>
      </x:c>
      <x:c r="M72" s="12" t="str">
        <x:v>Le vêtement autonome est anormal.</x:v>
      </x:c>
      <x:c r="N72" s="12" t="str">
        <x:v>Aucun déplacement de collision qui enferme les joueurs.</x:v>
      </x:c>
      <x:c r="O72" s="12" t="str">
        <x:v>Maillage de manteau et animation lente.</x:v>
      </x:c>
      <x:c r="P72" s="12" t="str">
        <x:v>coat_without_body</x:v>
      </x:c>
      <x:c r="Q72" s="16" t="n">
        <x:v>2</x:v>
      </x:c>
      <x:c r="R72" s="12" t="str">
        <x:v>Spécification originale ; effet absent du catalogue runtime v0.2.1.</x:v>
      </x:c>
      <x:c r="S72" s="18" t="str">
        <x:v>—</x:v>
      </x:c>
      <x:c r="T72" s="18" t="str">
        <x:v>—</x:v>
      </x:c>
      <x:c r="U72" s="18" t="str">
        <x:v>—</x:v>
      </x:c>
      <x:c r="V72" s="12" t="str">
        <x:v>Visuel / objet / espace</x:v>
      </x:c>
    </x:row>
    <x:row r="73" ht="40" customHeight="1">
      <x:c r="A73" s="11" t="str">
        <x:v>PX-068</x:v>
      </x:c>
      <x:c r="B73" s="11" t="str">
        <x:v>La sortie qui expire</x:v>
      </x:c>
      <x:c r="C73" s="11" t="str">
        <x:v>Organique</x:v>
      </x:c>
      <x:c r="D73" s="11" t="str">
        <x:v>Prévu</x:v>
      </x:c>
      <x:c r="E73" s="13" t="str">
        <x:v>Conçu — non implémenté</x:v>
      </x:c>
      <x:c r="F73" s="17" t="n">
        <x:v>4</x:v>
      </x:c>
      <x:c r="G73" s="11" t="str">
        <x:v>Issue</x:v>
      </x:c>
      <x:c r="H73" s="11" t="str">
        <x:v>Le joint de la porte de sortie est fixe.</x:v>
      </x:c>
      <x:c r="I73" s="11" t="str">
        <x:v>Le joint s’écarte comme une respiration.</x:v>
      </x:c>
      <x:c r="J73" s="11" t="str">
        <x:v>Le joint reste stable.</x:v>
      </x:c>
      <x:c r="K73" s="11" t="str">
        <x:v>Observer le haut et le bas du battant pendant un cycle.</x:v>
      </x:c>
      <x:c r="L73" s="11" t="str">
        <x:v>Approche du terminal.</x:v>
      </x:c>
      <x:c r="M73" s="11" t="str">
        <x:v>Le mouvement organique confirme.</x:v>
      </x:c>
      <x:c r="N73" s="11" t="str">
        <x:v>Le bouton de vote et l’évacuation restent accessibles.</x:v>
      </x:c>
      <x:c r="O73" s="11" t="str">
        <x:v>Porte déformable, souffle sourd.</x:v>
      </x:c>
      <x:c r="P73" s="11" t="str">
        <x:v>exit_breath</x:v>
      </x:c>
      <x:c r="Q73" s="17" t="n">
        <x:v>2</x:v>
      </x:c>
      <x:c r="R73" s="11" t="str">
        <x:v>Spécification originale ; effet absent du catalogue runtime v0.2.1.</x:v>
      </x:c>
      <x:c r="S73" s="19" t="str">
        <x:v>—</x:v>
      </x:c>
      <x:c r="T73" s="19" t="str">
        <x:v>—</x:v>
      </x:c>
      <x:c r="U73" s="19" t="str">
        <x:v>—</x:v>
      </x:c>
      <x:c r="V73" s="11" t="str">
        <x:v>Visuel / objet / espace</x:v>
      </x:c>
    </x:row>
    <x:row r="74" ht="40" customHeight="1">
      <x:c r="A74" s="12" t="str">
        <x:v>PX-069</x:v>
      </x:c>
      <x:c r="B74" s="12" t="str">
        <x:v>L’équipe précédente</x:v>
      </x:c>
      <x:c r="C74" s="12" t="str">
        <x:v>Mémoire</x:v>
      </x:c>
      <x:c r="D74" s="12" t="str">
        <x:v>Prévu</x:v>
      </x:c>
      <x:c r="E74" s="13" t="str">
        <x:v>Conçu — non implémenté</x:v>
      </x:c>
      <x:c r="F74" s="16" t="n">
        <x:v>4</x:v>
      </x:c>
      <x:c r="G74" s="12" t="str">
        <x:v>Réception</x:v>
      </x:c>
      <x:c r="H74" s="12" t="str">
        <x:v>La photo d’équipe montre des inconnus.</x:v>
      </x:c>
      <x:c r="I74" s="12" t="str">
        <x:v>Il y découvre les pseudonymes de l’équipe actuelle.</x:v>
      </x:c>
      <x:c r="J74" s="12" t="str">
        <x:v>Il voit les noms de la référence.</x:v>
      </x:c>
      <x:c r="K74" s="12" t="str">
        <x:v>Comparer la légende et le nombre de signatures.</x:v>
      </x:c>
      <x:c r="L74" s="12" t="str">
        <x:v>À partir d’un tour avancé.</x:v>
      </x:c>
      <x:c r="M74" s="12" t="str">
        <x:v>Une référence modifiée avec les noms actuels confirme.</x:v>
      </x:c>
      <x:c r="N74" s="12" t="str">
        <x:v>Jamais de photos personnelles réelles des joueurs.</x:v>
      </x:c>
      <x:c r="O74" s="12" t="str">
        <x:v>Photo fictive, plaques nominatives.</x:v>
      </x:c>
      <x:c r="P74" s="12" t="str">
        <x:v>wrong_team_photo</x:v>
      </x:c>
      <x:c r="Q74" s="16" t="n">
        <x:v>2</x:v>
      </x:c>
      <x:c r="R74" s="12" t="str">
        <x:v>Spécification originale ; effet absent du catalogue runtime v0.2.1.</x:v>
      </x:c>
      <x:c r="S74" s="18" t="str">
        <x:v>—</x:v>
      </x:c>
      <x:c r="T74" s="18" t="str">
        <x:v>—</x:v>
      </x:c>
      <x:c r="U74" s="18" t="str">
        <x:v>—</x:v>
      </x:c>
      <x:c r="V74" s="12" t="str">
        <x:v>Visuel / objet / espace</x:v>
      </x:c>
    </x:row>
    <x:row r="75" ht="40" customHeight="1">
      <x:c r="A75" s="11" t="str">
        <x:v>PX-070</x:v>
      </x:c>
      <x:c r="B75" s="11" t="str">
        <x:v>Le plan incomplet</x:v>
      </x:c>
      <x:c r="C75" s="11" t="str">
        <x:v>Mémoire</x:v>
      </x:c>
      <x:c r="D75" s="11" t="str">
        <x:v>Prévu</x:v>
      </x:c>
      <x:c r="E75" s="13" t="str">
        <x:v>Conçu — non implémenté</x:v>
      </x:c>
      <x:c r="F75" s="17" t="n">
        <x:v>2</x:v>
      </x:c>
      <x:c r="G75" s="11" t="str">
        <x:v>Plan d’étage</x:v>
      </x:c>
      <x:c r="H75" s="11" t="str">
        <x:v>Le plan contient toutes les portes de la référence.</x:v>
      </x:c>
      <x:c r="I75" s="11" t="str">
        <x:v>Une chambre manque sur le plan.</x:v>
      </x:c>
      <x:c r="J75" s="11" t="str">
        <x:v>Le plan est complet.</x:v>
      </x:c>
      <x:c r="K75" s="11" t="str">
        <x:v>Lire les chambres du plan et les comparer au couloir.</x:v>
      </x:c>
      <x:c r="L75" s="11" t="str">
        <x:v>Lecture volontaire du plan.</x:v>
      </x:c>
      <x:c r="M75" s="11" t="str">
        <x:v>Une omission stable sur le même plan confirme.</x:v>
      </x:c>
      <x:c r="N75" s="11" t="str">
        <x:v>Permettre de zoomer le document et de fermer avec Échap.</x:v>
      </x:c>
      <x:c r="O75" s="11" t="str">
        <x:v>Plan original lisible.</x:v>
      </x:c>
      <x:c r="P75" s="11" t="str">
        <x:v>map_missing_room</x:v>
      </x:c>
      <x:c r="Q75" s="17" t="n">
        <x:v>2</x:v>
      </x:c>
      <x:c r="R75" s="11" t="str">
        <x:v>Spécification originale ; effet absent du catalogue runtime v0.2.1.</x:v>
      </x:c>
      <x:c r="S75" s="19" t="str">
        <x:v>—</x:v>
      </x:c>
      <x:c r="T75" s="19" t="str">
        <x:v>—</x:v>
      </x:c>
      <x:c r="U75" s="19" t="str">
        <x:v>—</x:v>
      </x:c>
      <x:c r="V75" s="11" t="str">
        <x:v>Visuel / objet / espace</x:v>
      </x:c>
    </x:row>
    <x:row r="76" ht="40" customHeight="1">
      <x:c r="A76" s="12" t="str">
        <x:v>PX-071</x:v>
      </x:c>
      <x:c r="B76" s="12" t="str">
        <x:v>Le règlement contaminé</x:v>
      </x:c>
      <x:c r="C76" s="12" t="str">
        <x:v>Texte</x:v>
      </x:c>
      <x:c r="D76" s="12" t="str">
        <x:v>Prévu</x:v>
      </x:c>
      <x:c r="E76" s="13" t="str">
        <x:v>Conçu — non implémenté</x:v>
      </x:c>
      <x:c r="F76" s="16" t="n">
        <x:v>3</x:v>
      </x:c>
      <x:c r="G76" s="12" t="str">
        <x:v>Panneau</x:v>
      </x:c>
      <x:c r="H76" s="12" t="str">
        <x:v>Le panneau diégétique demande de signaler les anomalies.</x:v>
      </x:c>
      <x:c r="I76" s="12" t="str">
        <x:v>Il conseille soudain de ne rien signaler.</x:v>
      </x:c>
      <x:c r="J76" s="12" t="str">
        <x:v>Le règlement de référence est intact.</x:v>
      </x:c>
      <x:c r="K76" s="12" t="str">
        <x:v>Lire la phrase et vérifier la règle permanente de l’interface.</x:v>
      </x:c>
      <x:c r="L76" s="12" t="str">
        <x:v>À l’entrée du tour.</x:v>
      </x:c>
      <x:c r="M76" s="12" t="str">
        <x:v>Une consigne contradictoire dans le décor est une anomalie.</x:v>
      </x:c>
      <x:c r="N76" s="12" t="str">
        <x:v>L’interface réelle maintient toujours la règle fiable.</x:v>
      </x:c>
      <x:c r="O76" s="12" t="str">
        <x:v>Panneau de règlement alternatif.</x:v>
      </x:c>
      <x:c r="P76" s="12" t="str">
        <x:v>rules_swap</x:v>
      </x:c>
      <x:c r="Q76" s="16" t="n">
        <x:v>2</x:v>
      </x:c>
      <x:c r="R76" s="12" t="str">
        <x:v>Spécification originale ; effet absent du catalogue runtime v0.2.1.</x:v>
      </x:c>
      <x:c r="S76" s="18" t="str">
        <x:v>—</x:v>
      </x:c>
      <x:c r="T76" s="18" t="str">
        <x:v>—</x:v>
      </x:c>
      <x:c r="U76" s="18" t="str">
        <x:v>—</x:v>
      </x:c>
      <x:c r="V76" s="12" t="str">
        <x:v>Visuel / objet / espace</x:v>
      </x:c>
    </x:row>
    <x:row r="77" ht="40" customHeight="1">
      <x:c r="A77" s="11" t="str">
        <x:v>PX-072</x:v>
      </x:c>
      <x:c r="B77" s="11" t="str">
        <x:v>Le compte des occupants</x:v>
      </x:c>
      <x:c r="C77" s="11" t="str">
        <x:v>Relation</x:v>
      </x:c>
      <x:c r="D77" s="11" t="str">
        <x:v>Prévu</x:v>
      </x:c>
      <x:c r="E77" s="13" t="str">
        <x:v>Conçu — non implémenté</x:v>
      </x:c>
      <x:c r="F77" s="17" t="n">
        <x:v>3</x:v>
      </x:c>
      <x:c r="G77" s="11" t="str">
        <x:v>Réception</x:v>
      </x:c>
      <x:c r="H77" s="11" t="str">
        <x:v>L’afficheur annonce le nombre de joueurs présents.</x:v>
      </x:c>
      <x:c r="I77" s="11" t="str">
        <x:v>Il annonce un occupant de plus.</x:v>
      </x:c>
      <x:c r="J77" s="11" t="str">
        <x:v>Il annonce le nombre correct.</x:v>
      </x:c>
      <x:c r="K77" s="11" t="str">
        <x:v>Compter les membres connectés et lire l’afficheur.</x:v>
      </x:c>
      <x:c r="L77" s="11" t="str">
        <x:v>Après fermeture du salon.</x:v>
      </x:c>
      <x:c r="M77" s="11" t="str">
        <x:v>Un décompte diégétique trop élevé confirme.</x:v>
      </x:c>
      <x:c r="N77" s="11" t="str">
        <x:v>Ne jamais modifier le vrai compteur de connexion.</x:v>
      </x:c>
      <x:c r="O77" s="11" t="str">
        <x:v>Compteur lumineux et état serveur.</x:v>
      </x:c>
      <x:c r="P77" s="11" t="str">
        <x:v>guest_tally</x:v>
      </x:c>
      <x:c r="Q77" s="17" t="n">
        <x:v>3</x:v>
      </x:c>
      <x:c r="R77" s="11" t="str">
        <x:v>Spécification originale ; effet absent du catalogue runtime v0.2.1.</x:v>
      </x:c>
      <x:c r="S77" s="19" t="str">
        <x:v>—</x:v>
      </x:c>
      <x:c r="T77" s="19" t="str">
        <x:v>—</x:v>
      </x:c>
      <x:c r="U77" s="19" t="str">
        <x:v>—</x:v>
      </x:c>
      <x:c r="V77" s="11" t="str">
        <x:v>Comparaison entre témoins</x:v>
      </x:c>
    </x:row>
    <x:row r="78" ht="40" customHeight="1">
      <x:c r="A78" s="12" t="str">
        <x:v>PX-073</x:v>
      </x:c>
      <x:c r="B78" s="12" t="str">
        <x:v>La clé en double</x:v>
      </x:c>
      <x:c r="C78" s="12" t="str">
        <x:v>Duplication</x:v>
      </x:c>
      <x:c r="D78" s="12" t="str">
        <x:v>Prévu</x:v>
      </x:c>
      <x:c r="E78" s="13" t="str">
        <x:v>Conçu — non implémenté</x:v>
      </x:c>
      <x:c r="F78" s="16" t="n">
        <x:v>2</x:v>
      </x:c>
      <x:c r="G78" s="12" t="str">
        <x:v>Réception</x:v>
      </x:c>
      <x:c r="H78" s="12" t="str">
        <x:v>Une seule clé 09 pend au râtelier.</x:v>
      </x:c>
      <x:c r="I78" s="12" t="str">
        <x:v>Deux clés 09 sont présentes.</x:v>
      </x:c>
      <x:c r="J78" s="12" t="str">
        <x:v>Il n’en voit qu’une.</x:v>
      </x:c>
      <x:c r="K78" s="12" t="str">
        <x:v>Compter et lire les étiquettes depuis gauche à droite.</x:v>
      </x:c>
      <x:c r="L78" s="12" t="str">
        <x:v>À l’entrée du tour.</x:v>
      </x:c>
      <x:c r="M78" s="12" t="str">
        <x:v>La duplication d’un identifiant unique confirme.</x:v>
      </x:c>
      <x:c r="N78" s="12" t="str">
        <x:v>Aucun ramassage obligatoire et aucune perte de clé logique.</x:v>
      </x:c>
      <x:c r="O78" s="12" t="str">
        <x:v>Clés haute définition et étiquettes.</x:v>
      </x:c>
      <x:c r="P78" s="12" t="str">
        <x:v>same_key_twice</x:v>
      </x:c>
      <x:c r="Q78" s="16" t="n">
        <x:v>2</x:v>
      </x:c>
      <x:c r="R78" s="12" t="str">
        <x:v>Spécification originale ; effet absent du catalogue runtime v0.2.1.</x:v>
      </x:c>
      <x:c r="S78" s="18" t="str">
        <x:v>—</x:v>
      </x:c>
      <x:c r="T78" s="18" t="str">
        <x:v>—</x:v>
      </x:c>
      <x:c r="U78" s="18" t="str">
        <x:v>—</x:v>
      </x:c>
      <x:c r="V78" s="12" t="str">
        <x:v>Visuel / objet / espace</x:v>
      </x:c>
    </x:row>
    <x:row r="79" ht="40" customHeight="1">
      <x:c r="A79" s="11" t="str">
        <x:v>PX-074</x:v>
      </x:c>
      <x:c r="B79" s="11" t="str">
        <x:v>Le motif qui déraille</x:v>
      </x:c>
      <x:c r="C79" s="11" t="str">
        <x:v>Trace</x:v>
      </x:c>
      <x:c r="D79" s="11" t="str">
        <x:v>Prévu</x:v>
      </x:c>
      <x:c r="E79" s="13" t="str">
        <x:v>Conçu — non implémenté</x:v>
      </x:c>
      <x:c r="F79" s="17" t="n">
        <x:v>1</x:v>
      </x:c>
      <x:c r="G79" s="11" t="str">
        <x:v>Sol</x:v>
      </x:c>
      <x:c r="H79" s="11" t="str">
        <x:v>Les lignes du tapis convergent régulièrement vers l’issue.</x:v>
      </x:c>
      <x:c r="I79" s="11" t="str">
        <x:v>Un segment du motif traverse les autres à angle impossible.</x:v>
      </x:c>
      <x:c r="J79" s="11" t="str">
        <x:v>Le motif reste continu.</x:v>
      </x:c>
      <x:c r="K79" s="11" t="str">
        <x:v>Suivre une ligne entre deux joints.</x:v>
      </x:c>
      <x:c r="L79" s="11" t="str">
        <x:v>À l’entrée du tour.</x:v>
      </x:c>
      <x:c r="M79" s="11" t="str">
        <x:v>Une discontinuité qui n’existe pas en référence confirme.</x:v>
      </x:c>
      <x:c r="N79" s="11" t="str">
        <x:v>Pas de dépendance à une fréquence trop fine ou au moiré.</x:v>
      </x:c>
      <x:c r="O79" s="11" t="str">
        <x:v>Tapis original, variante de texture.</x:v>
      </x:c>
      <x:c r="P79" s="11" t="str">
        <x:v>carpet_wrong_weave</x:v>
      </x:c>
      <x:c r="Q79" s="17" t="n">
        <x:v>2</x:v>
      </x:c>
      <x:c r="R79" s="11" t="str">
        <x:v>Spécification originale ; effet absent du catalogue runtime v0.2.1.</x:v>
      </x:c>
      <x:c r="S79" s="19" t="str">
        <x:v>—</x:v>
      </x:c>
      <x:c r="T79" s="19" t="str">
        <x:v>—</x:v>
      </x:c>
      <x:c r="U79" s="19" t="str">
        <x:v>—</x:v>
      </x:c>
      <x:c r="V79" s="11" t="str">
        <x:v>Visuel / objet / espace</x:v>
      </x:c>
    </x:row>
    <x:row r="80" ht="40" customHeight="1">
      <x:c r="A80" s="12" t="str">
        <x:v>PX-075</x:v>
      </x:c>
      <x:c r="B80" s="12" t="str">
        <x:v>L’extincteur transparent</x:v>
      </x:c>
      <x:c r="C80" s="12" t="str">
        <x:v>Physique</x:v>
      </x:c>
      <x:c r="D80" s="12" t="str">
        <x:v>Prévu</x:v>
      </x:c>
      <x:c r="E80" s="13" t="str">
        <x:v>Conçu — non implémenté</x:v>
      </x:c>
      <x:c r="F80" s="16" t="n">
        <x:v>3</x:v>
      </x:c>
      <x:c r="G80" s="12" t="str">
        <x:v>Sécurité</x:v>
      </x:c>
      <x:c r="H80" s="12" t="str">
        <x:v>L’extincteur possède une coque opaque.</x:v>
      </x:c>
      <x:c r="I80" s="12" t="str">
        <x:v>La coque devient transparente et contient une brume mouvante.</x:v>
      </x:c>
      <x:c r="J80" s="12" t="str">
        <x:v>La coque demeure opaque.</x:v>
      </x:c>
      <x:c r="K80" s="12" t="str">
        <x:v>Décrire la silhouette et ce qui est visible à l’intérieur.</x:v>
      </x:c>
      <x:c r="L80" s="12" t="str">
        <x:v>Approche de l’équipement.</x:v>
      </x:c>
      <x:c r="M80" s="12" t="str">
        <x:v>Une matière transformée confirme.</x:v>
      </x:c>
      <x:c r="N80" s="12" t="str">
        <x:v>Version simplifiée avec fenêtre opaque lisible en basse qualité.</x:v>
      </x:c>
      <x:c r="O80" s="12" t="str">
        <x:v>Extincteur détaillé, volume intérieur.</x:v>
      </x:c>
      <x:c r="P80" s="12" t="str">
        <x:v>fire_extinguisher_full</x:v>
      </x:c>
      <x:c r="Q80" s="16" t="n">
        <x:v>2</x:v>
      </x:c>
      <x:c r="R80" s="12" t="str">
        <x:v>Spécification originale ; effet absent du catalogue runtime v0.2.1.</x:v>
      </x:c>
      <x:c r="S80" s="18" t="str">
        <x:v>—</x:v>
      </x:c>
      <x:c r="T80" s="18" t="str">
        <x:v>—</x:v>
      </x:c>
      <x:c r="U80" s="18" t="str">
        <x:v>—</x:v>
      </x:c>
      <x:c r="V80" s="12" t="str">
        <x:v>Visuel / objet / espace</x:v>
      </x:c>
    </x:row>
    <x:row r="81" ht="40" customHeight="1">
      <x:c r="A81" s="11" t="str">
        <x:v>PX-076</x:v>
      </x:c>
      <x:c r="B81" s="11" t="str">
        <x:v>La table du chalet</x:v>
      </x:c>
      <x:c r="C81" s="11" t="str">
        <x:v>Architecture</x:v>
      </x:c>
      <x:c r="D81" s="11" t="str">
        <x:v>Prévu</x:v>
      </x:c>
      <x:c r="E81" s="13" t="str">
        <x:v>Conçu — non implémenté</x:v>
      </x:c>
      <x:c r="F81" s="17" t="n">
        <x:v>3</x:v>
      </x:c>
      <x:c r="G81" s="11" t="str">
        <x:v>Chalet futur</x:v>
      </x:c>
      <x:c r="H81" s="11" t="str">
        <x:v>La table laisse un passage égal des deux côtés.</x:v>
      </x:c>
      <x:c r="I81" s="11" t="str">
        <x:v>La table s’étend jusqu’au mur.</x:v>
      </x:c>
      <x:c r="J81" s="11" t="str">
        <x:v>Le mobilier conserve sa taille.</x:v>
      </x:c>
      <x:c r="K81" s="11" t="str">
        <x:v>Comparer nombre de pieds et distance au foyer.</x:v>
      </x:c>
      <x:c r="L81" s="11" t="str">
        <x:v>Après retour dans la pièce principale.</x:v>
      </x:c>
      <x:c r="M81" s="11" t="str">
        <x:v>Un meuble agrandi localement confirme.</x:v>
      </x:c>
      <x:c r="N81" s="11" t="str">
        <x:v>Trajet commun conservé. Extension non présente dans le premier niveau.</x:v>
      </x:c>
      <x:c r="O81" s="11" t="str">
        <x:v>Module chalet, table paramétrique.</x:v>
      </x:c>
      <x:c r="P81" s="11" t="str">
        <x:v>cabine_table_size</x:v>
      </x:c>
      <x:c r="Q81" s="17" t="n">
        <x:v>2</x:v>
      </x:c>
      <x:c r="R81" s="11" t="str">
        <x:v>Spécification originale ; effet absent du catalogue runtime v0.2.1.</x:v>
      </x:c>
      <x:c r="S81" s="19" t="str">
        <x:v>—</x:v>
      </x:c>
      <x:c r="T81" s="19" t="str">
        <x:v>—</x:v>
      </x:c>
      <x:c r="U81" s="19" t="str">
        <x:v>—</x:v>
      </x:c>
      <x:c r="V81" s="11" t="str">
        <x:v>Visuel / objet / espace</x:v>
      </x:c>
    </x:row>
    <x:row r="82" ht="40" customHeight="1">
      <x:c r="A82" s="12" t="str">
        <x:v>PX-077</x:v>
      </x:c>
      <x:c r="B82" s="12" t="str">
        <x:v>La cheminée habitée</x:v>
      </x:c>
      <x:c r="C82" s="12" t="str">
        <x:v>Entité</x:v>
      </x:c>
      <x:c r="D82" s="12" t="str">
        <x:v>Prévu</x:v>
      </x:c>
      <x:c r="E82" s="13" t="str">
        <x:v>Conçu — non implémenté</x:v>
      </x:c>
      <x:c r="F82" s="16" t="n">
        <x:v>5</x:v>
      </x:c>
      <x:c r="G82" s="12" t="str">
        <x:v>Chalet futur</x:v>
      </x:c>
      <x:c r="H82" s="12" t="str">
        <x:v>La cheminée est vide et éteinte.</x:v>
      </x:c>
      <x:c r="I82" s="12" t="str">
        <x:v>Un visage apparaît au fond du conduit.</x:v>
      </x:c>
      <x:c r="J82" s="12" t="str">
        <x:v>Le conduit reste vide.</x:v>
      </x:c>
      <x:c r="K82" s="12" t="str">
        <x:v>Observer depuis la limite du tapis et décrire les yeux.</x:v>
      </x:c>
      <x:c r="L82" s="12" t="str">
        <x:v>Approche du foyer.</x:v>
      </x:c>
      <x:c r="M82" s="12" t="str">
        <x:v>La présence confirme sans entrer ni toucher.</x:v>
      </x:c>
      <x:c r="N82" s="12" t="str">
        <x:v>Aucune attaque obligatoire, alternative de peur réduite.</x:v>
      </x:c>
      <x:c r="O82" s="12" t="str">
        <x:v>Cheminée détaillée et visage original.</x:v>
      </x:c>
      <x:c r="P82" s="12" t="str">
        <x:v>cabine_chimney_face</x:v>
      </x:c>
      <x:c r="Q82" s="16" t="n">
        <x:v>2</x:v>
      </x:c>
      <x:c r="R82" s="12" t="str">
        <x:v>Spécification originale ; effet absent du catalogue runtime v0.2.1.</x:v>
      </x:c>
      <x:c r="S82" s="18" t="str">
        <x:v>—</x:v>
      </x:c>
      <x:c r="T82" s="18" t="str">
        <x:v>—</x:v>
      </x:c>
      <x:c r="U82" s="18" t="str">
        <x:v>—</x:v>
      </x:c>
      <x:c r="V82" s="12" t="str">
        <x:v>Visuel / objet / espace</x:v>
      </x:c>
    </x:row>
    <x:row r="83" ht="77" customHeight="1">
      <x:c r="A83" s="11" t="str">
        <x:v>PX-078</x:v>
      </x:c>
      <x:c r="B83" s="11" t="str">
        <x:v>L’ombre de la rame</x:v>
      </x:c>
      <x:c r="C83" s="11" t="str">
        <x:v>Entité</x:v>
      </x:c>
      <x:c r="D83" s="11" t="str">
        <x:v>Présent</x:v>
      </x:c>
      <x:c r="E83" s="13" t="str">
        <x:v>Implémenté — QA partielle</x:v>
      </x:c>
      <x:c r="F83" s="17" t="n">
        <x:v>4</x:v>
      </x:c>
      <x:c r="G83" s="11" t="str">
        <x:v>Terminus 09 / quai</x:v>
      </x:c>
      <x:c r="H83" s="11" t="str">
        <x:v>Le quai vide ne reçoit aucune ombre de rame.</x:v>
      </x:c>
      <x:c r="I83" s="11" t="str">
        <x:v>Une ombre de train apparaît sans rame correspondante.</x:v>
      </x:c>
      <x:c r="J83" s="11" t="str">
        <x:v>Le quai n’a pas cette ombre et les voies sont également vides.</x:v>
      </x:c>
      <x:c r="K83" s="11" t="str">
        <x:v>Comparez les ombres et la présence d’un véhicule sur les rails.</x:v>
      </x:c>
      <x:c r="L83" s="11" t="str">
        <x:v>Effet cyclique pendant le passage ; observer depuis la limite sûre du quai.</x:v>
      </x:c>
      <x:c r="M83" s="11" t="str">
        <x:v>Ombre de train sans rame correspondante, confirmée par deux repères partagés.</x:v>
      </x:c>
      <x:c r="N83" s="11" t="str">
        <x:v>Ne pas marcher sur les voies pour confirmer. Un reflet ou une ombre du vrai partenaire ne doit pas produire la même forme.</x:v>
      </x:c>
      <x:c r="O83" s="11" t="str">
        <x:v>Silhouette sombre de rame et animation de passage ; aucune rame réelle ajoutée.</x:v>
      </x:c>
      <x:c r="P83" s="11" t="str">
        <x:v>metro_shadow_train</x:v>
      </x:c>
      <x:c r="Q83" s="17" t="n">
        <x:v>2</x:v>
      </x:c>
      <x:c r="R83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3" s="19" t="str">
        <x:v>—</x:v>
      </x:c>
      <x:c r="T83" s="19" t="str">
        <x:v>Oui</x:v>
      </x:c>
      <x:c r="U83" s="19" t="str">
        <x:v>—</x:v>
      </x:c>
      <x:c r="V83" s="11" t="str">
        <x:v>Visuel / objet / espace</x:v>
      </x:c>
    </x:row>
    <x:row r="84" ht="77" customHeight="1">
      <x:c r="A84" s="12" t="str">
        <x:v>PX-079</x:v>
      </x:c>
      <x:c r="B84" s="12" t="str">
        <x:v>Un lit pour personne</x:v>
      </x:c>
      <x:c r="C84" s="12" t="str">
        <x:v>Duplication</x:v>
      </x:c>
      <x:c r="D84" s="12" t="str">
        <x:v>Présent</x:v>
      </x:c>
      <x:c r="E84" s="13" t="str">
        <x:v>Implémenté — QA partielle</x:v>
      </x:c>
      <x:c r="F84" s="16" t="n">
        <x:v>3</x:v>
      </x:c>
      <x:c r="G84" s="12" t="str">
        <x:v>Aile blanche / lit</x:v>
      </x:c>
      <x:c r="H84" s="12" t="str">
        <x:v>La zone comprend un seul lit.</x:v>
      </x:c>
      <x:c r="I84" s="12" t="str">
        <x:v>Un lit supplémentaire apparaît dans la clinique.</x:v>
      </x:c>
      <x:c r="J84" s="12" t="str">
        <x:v>Un seul lit occupe la zone de référence.</x:v>
      </x:c>
      <x:c r="K84" s="12" t="str">
        <x:v>Comptez les lits puis décrivez leurs emplacements.</x:v>
      </x:c>
      <x:c r="L84" s="12" t="str">
        <x:v>Inspection de la zone du lit ; second modèle placé dans la vue affectée.</x:v>
      </x:c>
      <x:c r="M84" s="12" t="str">
        <x:v>Un lit supplémentaire, même parfaitement normal en apparence, confirme la fracture.</x:v>
      </x:c>
      <x:c r="N84" s="12" t="str">
        <x:v>Aucun patient ni souffrance graphique. Le lit supplémentaire ne bloque pas les déplacements communs.</x:v>
      </x:c>
      <x:c r="O84" s="12" t="str">
        <x:v>Deux modèles de lit vides avec draps ; groupe de duplication nettoyable.</x:v>
      </x:c>
      <x:c r="P84" s="12" t="str">
        <x:v>clinic_bed_count</x:v>
      </x:c>
      <x:c r="Q84" s="16" t="n">
        <x:v>2</x:v>
      </x:c>
      <x:c r="R84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4" s="18" t="str">
        <x:v>—</x:v>
      </x:c>
      <x:c r="T84" s="18" t="str">
        <x:v>—</x:v>
      </x:c>
      <x:c r="U84" s="18" t="str">
        <x:v>Oui</x:v>
      </x:c>
      <x:c r="V84" s="12" t="str">
        <x:v>Visuel / objet / espace</x:v>
      </x:c>
    </x:row>
    <x:row r="85" ht="40" customHeight="1">
      <x:c r="A85" s="11" t="str">
        <x:v>PX-080</x:v>
      </x:c>
      <x:c r="B85" s="11" t="str">
        <x:v>La fenêtre sur ailleurs</x:v>
      </x:c>
      <x:c r="C85" s="11" t="str">
        <x:v>Atmosphère</x:v>
      </x:c>
      <x:c r="D85" s="11" t="str">
        <x:v>Prévu</x:v>
      </x:c>
      <x:c r="E85" s="13" t="str">
        <x:v>Conçu — non implémenté</x:v>
      </x:c>
      <x:c r="F85" s="17" t="n">
        <x:v>4</x:v>
      </x:c>
      <x:c r="G85" s="11" t="str">
        <x:v>Observatoire futur</x:v>
      </x:c>
      <x:c r="H85" s="11" t="str">
        <x:v>La fenêtre montre le relief terrestre nocturne.</x:v>
      </x:c>
      <x:c r="I85" s="11" t="str">
        <x:v>Une immense planète occupe le ciel.</x:v>
      </x:c>
      <x:c r="J85" s="11" t="str">
        <x:v>Le relief normal demeure visible.</x:v>
      </x:c>
      <x:c r="K85" s="11" t="str">
        <x:v>Décrire l’horizon et la relation au cadre de la fenêtre.</x:v>
      </x:c>
      <x:c r="L85" s="11" t="str">
        <x:v>Ouverture des volets.</x:v>
      </x:c>
      <x:c r="M85" s="11" t="str">
        <x:v>Une vue extérieure incompatible confirme.</x:v>
      </x:c>
      <x:c r="N85" s="11" t="str">
        <x:v>Aucun objet spatial n’apparaît dans le HUD réel ni dans la logique réseau.</x:v>
      </x:c>
      <x:c r="O85" s="11" t="str">
        <x:v>Ciel planétaire original, éclairage local.</x:v>
      </x:c>
      <x:c r="P85" s="11" t="str">
        <x:v>observatory_earth</x:v>
      </x:c>
      <x:c r="Q85" s="17" t="n">
        <x:v>2</x:v>
      </x:c>
      <x:c r="R85" s="11" t="str">
        <x:v>Spécification originale ; effet absent du catalogue runtime v0.2.1.</x:v>
      </x:c>
      <x:c r="S85" s="19" t="str">
        <x:v>—</x:v>
      </x:c>
      <x:c r="T85" s="19" t="str">
        <x:v>—</x:v>
      </x:c>
      <x:c r="U85" s="19" t="str">
        <x:v>—</x:v>
      </x:c>
      <x:c r="V85" s="11" t="str">
        <x:v>Visuel / objet / espace</x:v>
      </x:c>
    </x:row>
    <x:row r="86" ht="77" customHeight="1">
      <x:c r="A86" s="12" t="str">
        <x:v>PX-081</x:v>
      </x:c>
      <x:c r="B86" s="12" t="str">
        <x:v>Quelques secondes derrière</x:v>
      </x:c>
      <x:c r="C86" s="12" t="str">
        <x:v>Reflet</x:v>
      </x:c>
      <x:c r="D86" s="12" t="str">
        <x:v>Présent</x:v>
      </x:c>
      <x:c r="E86" s="13" t="str">
        <x:v>Implémenté — QA partielle</x:v>
      </x:c>
      <x:c r="F86" s="16" t="n">
        <x:v>3</x:v>
      </x:c>
      <x:c r="G86" s="12" t="str">
        <x:v>Miroir commun</x:v>
      </x:c>
      <x:c r="H86" s="12" t="str">
        <x:v>Le reflet suit vos mouvements immédiatement.</x:v>
      </x:c>
      <x:c r="I86" s="12" t="str">
        <x:v>Votre reflet reproduit vos mouvements avec un retard visible.</x:v>
      </x:c>
      <x:c r="J86" s="12" t="str">
        <x:v>Le reflet suit le geste sans retard perceptible.</x:v>
      </x:c>
      <x:c r="K86" s="12" t="str">
        <x:v>Bougez latéralement puis immobilisez-vous pendant que chacun décrit son reflet.</x:v>
      </x:c>
      <x:c r="L86" s="12" t="str">
        <x:v>Déplacement volontaire devant le miroir.</x:v>
      </x:c>
      <x:c r="M86" s="12" t="str">
        <x:v>Le délai local reproductible constitue la preuve. Le retard d’un avatar distant ne suffit pas.</x:v>
      </x:c>
      <x:c r="N86" s="12" t="str">
        <x:v>Tester son propre corps pour dissocier l’anomalie du délai réseau. La scène et les messages système restent fiables.</x:v>
      </x:c>
      <x:c r="O86" s="12" t="str">
        <x:v>Corps articulé, historique de poses local, miroir planaire.</x:v>
      </x:c>
      <x:c r="P86" s="12" t="str">
        <x:v>reflection_delay</x:v>
      </x:c>
      <x:c r="Q86" s="16" t="n">
        <x:v>2</x:v>
      </x:c>
      <x:c r="R86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6" s="18" t="str">
        <x:v>Oui</x:v>
      </x:c>
      <x:c r="T86" s="18" t="str">
        <x:v>Oui</x:v>
      </x:c>
      <x:c r="U86" s="18" t="str">
        <x:v>Oui</x:v>
      </x:c>
      <x:c r="V86" s="12" t="str">
        <x:v>Corps / reflet / mouvement</x:v>
      </x:c>
    </x:row>
    <x:row r="87" ht="77" customHeight="1">
      <x:c r="A87" s="11" t="str">
        <x:v>PX-082</x:v>
      </x:c>
      <x:c r="B87" s="11" t="str">
        <x:v>Le reflet manquant</x:v>
      </x:c>
      <x:c r="C87" s="11" t="str">
        <x:v>Reflet</x:v>
      </x:c>
      <x:c r="D87" s="11" t="str">
        <x:v>Présent</x:v>
      </x:c>
      <x:c r="E87" s="13" t="str">
        <x:v>Implémenté — QA partielle</x:v>
      </x:c>
      <x:c r="F87" s="17" t="n">
        <x:v>3</x:v>
      </x:c>
      <x:c r="G87" s="11" t="str">
        <x:v>Miroir commun</x:v>
      </x:c>
      <x:c r="H87" s="11" t="str">
        <x:v>Votre silhouette apparaît dans la surface réfléchissante.</x:v>
      </x:c>
      <x:c r="I87" s="11" t="str">
        <x:v>Le décor se reflète, mais votre silhouette manque.</x:v>
      </x:c>
      <x:c r="J87" s="11" t="str">
        <x:v>Le corps correspondant est visible dans son reflet.</x:v>
      </x:c>
      <x:c r="K87" s="11" t="str">
        <x:v>Placez-vous devant la vitre et vérifiez si chacun possède son propre reflet.</x:v>
      </x:c>
      <x:c r="L87" s="11" t="str">
        <x:v>Présence dans le champ du miroir.</x:v>
      </x:c>
      <x:c r="M87" s="11" t="str">
        <x:v>Un décor conservé et un seul corps absent confirment une altération du reflet.</x:v>
      </x:c>
      <x:c r="N87" s="11" t="str">
        <x:v>Ne jamais simuler une surface cassée ou une erreur WebGL. Le cadre et le décor doivent rester lisibles.</x:v>
      </x:c>
      <x:c r="O87" s="11" t="str">
        <x:v>Caméra réfléchie, couches de corps local, masque de rendu.</x:v>
      </x:c>
      <x:c r="P87" s="11" t="str">
        <x:v>reflection_absent</x:v>
      </x:c>
      <x:c r="Q87" s="17" t="n">
        <x:v>2</x:v>
      </x:c>
      <x:c r="R8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7" s="19" t="str">
        <x:v>Oui</x:v>
      </x:c>
      <x:c r="T87" s="19" t="str">
        <x:v>Oui</x:v>
      </x:c>
      <x:c r="U87" s="19" t="str">
        <x:v>Oui</x:v>
      </x:c>
      <x:c r="V87" s="11" t="str">
        <x:v>Corps / reflet / mouvement</x:v>
      </x:c>
    </x:row>
    <x:row r="88" ht="77" customHeight="1">
      <x:c r="A88" s="12" t="str">
        <x:v>PX-083</x:v>
      </x:c>
      <x:c r="B88" s="12" t="str">
        <x:v>Le collègue de cire</x:v>
      </x:c>
      <x:c r="C88" s="12" t="str">
        <x:v>Personnage</x:v>
      </x:c>
      <x:c r="D88" s="12" t="str">
        <x:v>Présent</x:v>
      </x:c>
      <x:c r="E88" s="13" t="str">
        <x:v>Implémenté — QA partielle</x:v>
      </x:c>
      <x:c r="F88" s="16" t="n">
        <x:v>4</x:v>
      </x:c>
      <x:c r="G88" s="12" t="str">
        <x:v>Coéquipier et miroir</x:v>
      </x:c>
      <x:c r="H88" s="12" t="str">
        <x:v>Les inspecteurs et leurs reflets conservent leur apparence humaine équipée.</x:v>
      </x:c>
      <x:c r="I88" s="12" t="str">
        <x:v>La silhouette d’un inspecteur ou son reflet devient un mannequin rigide dans une perception.</x:v>
      </x:c>
      <x:c r="J88" s="12" t="str">
        <x:v>La même personne conserve son modèle humain et sa tenue.</x:v>
      </x:c>
      <x:c r="K88" s="12" t="str">
        <x:v>Décrivez les vêtements et la posture de votre partenaire, puis comparez le miroir.</x:v>
      </x:c>
      <x:c r="L88" s="12" t="str">
        <x:v>Passage avec témoin ciblé. En solo, corps de référence dans le miroir.</x:v>
      </x:c>
      <x:c r="M88" s="12" t="str">
        <x:v>Une transformation de modèle attribuée à un seul observateur est anormale.</x:v>
      </x:c>
      <x:c r="N88" s="12" t="str">
        <x:v>Conserver l’identifiant de joueur fiable. Une perte de connexion réelle ne change jamais un modèle en mannequin.</x:v>
      </x:c>
      <x:c r="O88" s="12" t="str">
        <x:v>Modèle procédural humain et variante mannequin, matériaux et rig.</x:v>
      </x:c>
      <x:c r="P88" s="12" t="str">
        <x:v>avatar_mannequin</x:v>
      </x:c>
      <x:c r="Q88" s="16" t="n">
        <x:v>2</x:v>
      </x:c>
      <x:c r="R88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8" s="18" t="str">
        <x:v>Oui</x:v>
      </x:c>
      <x:c r="T88" s="18" t="str">
        <x:v>Oui</x:v>
      </x:c>
      <x:c r="U88" s="18" t="str">
        <x:v>Oui</x:v>
      </x:c>
      <x:c r="V88" s="12" t="str">
        <x:v>Corps / reflet / mouvement</x:v>
      </x:c>
    </x:row>
    <x:row r="89" ht="77" customHeight="1">
      <x:c r="A89" s="11" t="str">
        <x:v>PX-084</x:v>
      </x:c>
      <x:c r="B89" s="11" t="str">
        <x:v>Un partenaire de trop</x:v>
      </x:c>
      <x:c r="C89" s="11" t="str">
        <x:v>Personnage</x:v>
      </x:c>
      <x:c r="D89" s="11" t="str">
        <x:v>Présent</x:v>
      </x:c>
      <x:c r="E89" s="13" t="str">
        <x:v>Implémenté — QA partielle</x:v>
      </x:c>
      <x:c r="F89" s="17" t="n">
        <x:v>4</x:v>
      </x:c>
      <x:c r="G89" s="11" t="str">
        <x:v>Espace partagé</x:v>
      </x:c>
      <x:c r="H89" s="11" t="str">
        <x:v>Chaque inspecteur possède une seule silhouette et un seul reflet.</x:v>
      </x:c>
      <x:c r="I89" s="11" t="str">
        <x:v>Une seconde silhouette d’inspecteur apparaît près de l’original ou dans la surface réfléchissante.</x:v>
      </x:c>
      <x:c r="J89" s="11" t="str">
        <x:v>Le nombre de personnes demeure conforme au groupe.</x:v>
      </x:c>
      <x:c r="K89" s="11" t="str">
        <x:v>Comptez les personnes puis confirmez leurs positions dans le salon.</x:v>
      </x:c>
      <x:c r="L89" s="11" t="str">
        <x:v>Présence d’un double local au décor.</x:v>
      </x:c>
      <x:c r="M89" s="11" t="str">
        <x:v>Un corps supplémentaire sans membre connecté correspondant est la preuve.</x:v>
      </x:c>
      <x:c r="N89" s="11" t="str">
        <x:v>Le vrai compteur réseau reste intact. Le double n’obtient jamais un jeton ni le droit de voter.</x:v>
      </x:c>
      <x:c r="O89" s="11" t="str">
        <x:v>Instance locale d’un inspecteur, animation et badge de fiction.</x:v>
      </x:c>
      <x:c r="P89" s="11" t="str">
        <x:v>avatar_double</x:v>
      </x:c>
      <x:c r="Q89" s="17" t="n">
        <x:v>2</x:v>
      </x:c>
      <x:c r="R89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89" s="19" t="str">
        <x:v>Oui</x:v>
      </x:c>
      <x:c r="T89" s="19" t="str">
        <x:v>Oui</x:v>
      </x:c>
      <x:c r="U89" s="19" t="str">
        <x:v>Oui</x:v>
      </x:c>
      <x:c r="V89" s="11" t="str">
        <x:v>Corps / reflet / mouvement</x:v>
      </x:c>
    </x:row>
    <x:row r="90" ht="77" customHeight="1">
      <x:c r="A90" s="12" t="str">
        <x:v>PX-085</x:v>
      </x:c>
      <x:c r="B90" s="12" t="str">
        <x:v>L’ombre détachée</x:v>
      </x:c>
      <x:c r="C90" s="12" t="str">
        <x:v>Personnage</x:v>
      </x:c>
      <x:c r="D90" s="12" t="str">
        <x:v>Présent</x:v>
      </x:c>
      <x:c r="E90" s="13" t="str">
        <x:v>Implémenté — QA partielle</x:v>
      </x:c>
      <x:c r="F90" s="16" t="n">
        <x:v>4</x:v>
      </x:c>
      <x:c r="G90" s="12" t="str">
        <x:v>Sol près du groupe</x:v>
      </x:c>
      <x:c r="H90" s="12" t="str">
        <x:v>Les ombres des inspecteurs restent cohérentes avec leur corps et l’éclairage.</x:v>
      </x:c>
      <x:c r="I90" s="12" t="str">
        <x:v>Une silhouette humaine noire et aplatie se détache au sol et tourne indépendamment de l’inspecteur ; son vrai corps reste normal.</x:v>
      </x:c>
      <x:c r="J90" s="12" t="str">
        <x:v>Les ombres restent liées aux silhouettes visibles.</x:v>
      </x:c>
      <x:c r="K90" s="12" t="str">
        <x:v>Comparez la position et le mouvement de l’ombre en restant immobiles.</x:v>
      </x:c>
      <x:c r="L90" s="12" t="str">
        <x:v>Observation du sol près d’un corps ou du miroir.</x:v>
      </x:c>
      <x:c r="M90" s="12" t="str">
        <x:v>Une ombre localement détachée et persistante confirme.</x:v>
      </x:c>
      <x:c r="N90" s="12" t="str">
        <x:v>Le parcours physique reste commun. Ne pas compter une ombre manquante en qualité basse comme une anomalie.</x:v>
      </x:c>
      <x:c r="O90" s="12" t="str">
        <x:v>Silhouette projetée indépendante et animation lente.</x:v>
      </x:c>
      <x:c r="P90" s="12" t="str">
        <x:v>avatar_shadow</x:v>
      </x:c>
      <x:c r="Q90" s="16" t="n">
        <x:v>2</x:v>
      </x:c>
      <x:c r="R90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0" s="18" t="str">
        <x:v>Oui</x:v>
      </x:c>
      <x:c r="T90" s="18" t="str">
        <x:v>Oui</x:v>
      </x:c>
      <x:c r="U90" s="18" t="str">
        <x:v>Oui</x:v>
      </x:c>
      <x:c r="V90" s="12" t="str">
        <x:v>Corps / reflet / mouvement</x:v>
      </x:c>
    </x:row>
    <x:row r="91" ht="77" customHeight="1">
      <x:c r="A91" s="11" t="str">
        <x:v>PX-086</x:v>
      </x:c>
      <x:c r="B91" s="11" t="str">
        <x:v>La porteuse rouge</x:v>
      </x:c>
      <x:c r="C91" s="11" t="str">
        <x:v>Radio visuelle</x:v>
      </x:c>
      <x:c r="D91" s="11" t="str">
        <x:v>Présent</x:v>
      </x:c>
      <x:c r="E91" s="13" t="str">
        <x:v>Implémenté — QA partielle</x:v>
      </x:c>
      <x:c r="F91" s="17" t="n">
        <x:v>2</x:v>
      </x:c>
      <x:c r="G91" s="11" t="str">
        <x:v>Relais du décor</x:v>
      </x:c>
      <x:c r="H91" s="11" t="str">
        <x:v>Le voyant du relais reste dans son état de référence.</x:v>
      </x:c>
      <x:c r="I91" s="11" t="str">
        <x:v>Le relais produit une lumière de signal inhabituelle dans une perception.</x:v>
      </x:c>
      <x:c r="J91" s="11" t="str">
        <x:v>L’afficheur de l’appareil reste normal.</x:v>
      </x:c>
      <x:c r="K91" s="11" t="str">
        <x:v>Comparez les voyants du même appareil sans confondre le voyant du micro personnel.</x:v>
      </x:c>
      <x:c r="L91" s="11" t="str">
        <x:v>Couche visuelle active pendant le passage.</x:v>
      </x:c>
      <x:c r="M91" s="11" t="str">
        <x:v>Une indication diégétique incompatible avec la référence confirme.</x:v>
      </x:c>
      <x:c r="N91" s="11" t="str">
        <x:v>L’état de connexion réel et l’autorisation micro sont affichés séparément et ne sont jamais falsifiés.</x:v>
      </x:c>
      <x:c r="O91" s="11" t="str">
        <x:v>Relais modélisé et voyant lumineux privé ; repère partagé.</x:v>
      </x:c>
      <x:c r="P91" s="11" t="str">
        <x:v>radio_signal</x:v>
      </x:c>
      <x:c r="Q91" s="17" t="n">
        <x:v>1</x:v>
      </x:c>
      <x:c r="R91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1" s="19" t="str">
        <x:v>Oui</x:v>
      </x:c>
      <x:c r="T91" s="19" t="str">
        <x:v>Oui</x:v>
      </x:c>
      <x:c r="U91" s="19" t="str">
        <x:v>Oui</x:v>
      </x:c>
      <x:c r="V91" s="11" t="str">
        <x:v>Visuel / objet / espace</x:v>
      </x:c>
    </x:row>
    <x:row r="92" ht="77" customHeight="1">
      <x:c r="A92" s="12" t="str">
        <x:v>PX-087</x:v>
      </x:c>
      <x:c r="B92" s="12" t="str">
        <x:v>La rame sans service</x:v>
      </x:c>
      <x:c r="C92" s="12" t="str">
        <x:v>Métro</x:v>
      </x:c>
      <x:c r="D92" s="12" t="str">
        <x:v>Présent</x:v>
      </x:c>
      <x:c r="E92" s="13" t="str">
        <x:v>Implémenté — QA partielle</x:v>
      </x:c>
      <x:c r="F92" s="16" t="n">
        <x:v>4</x:v>
      </x:c>
      <x:c r="G92" s="12" t="str">
        <x:v>Voies de la station</x:v>
      </x:c>
      <x:c r="H92" s="12" t="str">
        <x:v>Aucune rame ne circule sur le quai hors service.</x:v>
      </x:c>
      <x:c r="I92" s="12" t="str">
        <x:v>Une rame apparaît dans la voie condamnée.</x:v>
      </x:c>
      <x:c r="J92" s="12" t="str">
        <x:v>Les rails restent dégagés.</x:v>
      </x:c>
      <x:c r="K92" s="12" t="str">
        <x:v>Comparez la voie, en précisant le sens du tunnel regardé.</x:v>
      </x:c>
      <x:c r="L92" s="12" t="str">
        <x:v>Tirage propre au métro.</x:v>
      </x:c>
      <x:c r="M92" s="12" t="str">
        <x:v>Une rame ajoutée alors qu’aucun train n’est prévu confirme.</x:v>
      </x:c>
      <x:c r="N92" s="12" t="str">
        <x:v>La rame n’autorise pas à pénétrer sur les voies. Aucun déplacement physique ne piège les joueurs.</x:v>
      </x:c>
      <x:c r="O92" s="12" t="str">
        <x:v>Rame procédurale, vitres, portes, feux et rails.</x:v>
      </x:c>
      <x:c r="P92" s="12" t="str">
        <x:v>metro_train</x:v>
      </x:c>
      <x:c r="Q92" s="16" t="n">
        <x:v>1</x:v>
      </x:c>
      <x:c r="R92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2" s="18" t="str">
        <x:v>—</x:v>
      </x:c>
      <x:c r="T92" s="18" t="str">
        <x:v>Oui</x:v>
      </x:c>
      <x:c r="U92" s="18" t="str">
        <x:v>—</x:v>
      </x:c>
      <x:c r="V92" s="12" t="str">
        <x:v>Visuel / objet / espace</x:v>
      </x:c>
    </x:row>
    <x:row r="93" ht="77" customHeight="1">
      <x:c r="A93" s="11" t="str">
        <x:v>PX-088</x:v>
      </x:c>
      <x:c r="B93" s="11" t="str">
        <x:v>La destination impossible</x:v>
      </x:c>
      <x:c r="C93" s="11" t="str">
        <x:v>Métro</x:v>
      </x:c>
      <x:c r="D93" s="11" t="str">
        <x:v>Présent</x:v>
      </x:c>
      <x:c r="E93" s="13" t="str">
        <x:v>Implémenté — QA partielle</x:v>
      </x:c>
      <x:c r="F93" s="17" t="n">
        <x:v>3</x:v>
      </x:c>
      <x:c r="G93" s="11" t="str">
        <x:v>Afficheur de destination</x:v>
      </x:c>
      <x:c r="H93" s="11" t="str">
        <x:v>Le panneau indique QUAI 09 / SERVICE TERMINÉ.</x:v>
      </x:c>
      <x:c r="I93" s="11" t="str">
        <x:v>L’affichage de destination indique une destination incohérente.</x:v>
      </x:c>
      <x:c r="J93" s="11" t="str">
        <x:v>Le texte normal reste visible.</x:v>
      </x:c>
      <x:c r="K93" s="11" t="str">
        <x:v>Lisez le panneau mot à mot dans chaque perception.</x:v>
      </x:c>
      <x:c r="L93" s="11" t="str">
        <x:v>Tirage propre au métro.</x:v>
      </x:c>
      <x:c r="M93" s="11" t="str">
        <x:v>Le changement local du texte de destination est la preuve.</x:v>
      </x:c>
      <x:c r="N93" s="11" t="str">
        <x:v>La signalétique fictive ne remplace pas l’interface du vote ni la consigne de campagne.</x:v>
      </x:c>
      <x:c r="O93" s="11" t="str">
        <x:v>Afficheur numérique, typographie et deux textures.</x:v>
      </x:c>
      <x:c r="P93" s="11" t="str">
        <x:v>metro_destination</x:v>
      </x:c>
      <x:c r="Q93" s="17" t="n">
        <x:v>2</x:v>
      </x:c>
      <x:c r="R93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3" s="19" t="str">
        <x:v>—</x:v>
      </x:c>
      <x:c r="T93" s="19" t="str">
        <x:v>Oui</x:v>
      </x:c>
      <x:c r="U93" s="19" t="str">
        <x:v>—</x:v>
      </x:c>
      <x:c r="V93" s="11" t="str">
        <x:v>Visuel / objet / espace</x:v>
      </x:c>
    </x:row>
    <x:row r="94" ht="77" customHeight="1">
      <x:c r="A94" s="12" t="str">
        <x:v>PX-089</x:v>
      </x:c>
      <x:c r="B94" s="12" t="str">
        <x:v>Le feu contradictoire</x:v>
      </x:c>
      <x:c r="C94" s="12" t="str">
        <x:v>Métro</x:v>
      </x:c>
      <x:c r="D94" s="12" t="str">
        <x:v>Présent</x:v>
      </x:c>
      <x:c r="E94" s="13" t="str">
        <x:v>Implémenté — QA partielle</x:v>
      </x:c>
      <x:c r="F94" s="16" t="n">
        <x:v>2</x:v>
      </x:c>
      <x:c r="G94" s="12" t="str">
        <x:v>Signal ferroviaire</x:v>
      </x:c>
      <x:c r="H94" s="12" t="str">
        <x:v>La signalisation ferroviaire de référence est verte.</x:v>
      </x:c>
      <x:c r="I94" s="12" t="str">
        <x:v>Le feu ferroviaire change de signal pour le témoin.</x:v>
      </x:c>
      <x:c r="J94" s="12" t="str">
        <x:v>L’état de référence persiste.</x:v>
      </x:c>
      <x:c r="K94" s="12" t="str">
        <x:v>Comparez le feu de voie, distinct des éclairages du quai.</x:v>
      </x:c>
      <x:c r="L94" s="12" t="str">
        <x:v>Tirage propre au métro.</x:v>
      </x:c>
      <x:c r="M94" s="12" t="str">
        <x:v>Le changement visible de signal confirme.</x:v>
      </x:c>
      <x:c r="N94" s="12" t="str">
        <x:v>Prévoir une différence de position ou de rythme en complément de la couleur lors de la passe accessibilité.</x:v>
      </x:c>
      <x:c r="O94" s="12" t="str">
        <x:v>Feu ferroviaire et lumière locale.</x:v>
      </x:c>
      <x:c r="P94" s="12" t="str">
        <x:v>metro_signal</x:v>
      </x:c>
      <x:c r="Q94" s="16" t="n">
        <x:v>2</x:v>
      </x:c>
      <x:c r="R94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4" s="18" t="str">
        <x:v>—</x:v>
      </x:c>
      <x:c r="T94" s="18" t="str">
        <x:v>Oui</x:v>
      </x:c>
      <x:c r="U94" s="18" t="str">
        <x:v>—</x:v>
      </x:c>
      <x:c r="V94" s="12" t="str">
        <x:v>Visuel / objet / espace</x:v>
      </x:c>
    </x:row>
    <x:row r="95" ht="77" customHeight="1">
      <x:c r="A95" s="11" t="str">
        <x:v>PX-090</x:v>
      </x:c>
      <x:c r="B95" s="11" t="str">
        <x:v>Les rails déformés</x:v>
      </x:c>
      <x:c r="C95" s="11" t="str">
        <x:v>Métro</x:v>
      </x:c>
      <x:c r="D95" s="11" t="str">
        <x:v>Présent</x:v>
      </x:c>
      <x:c r="E95" s="13" t="str">
        <x:v>Implémenté — QA partielle</x:v>
      </x:c>
      <x:c r="F95" s="17" t="n">
        <x:v>4</x:v>
      </x:c>
      <x:c r="G95" s="11" t="str">
        <x:v>Rails</x:v>
      </x:c>
      <x:c r="H95" s="11" t="str">
        <x:v>Les rails sont parallèles et suivent une ligne régulière.</x:v>
      </x:c>
      <x:c r="I95" s="11" t="str">
        <x:v>Une portion de voie se déforme anormalement.</x:v>
      </x:c>
      <x:c r="J95" s="11" t="str">
        <x:v>Les rails conservent leur tracé.</x:v>
      </x:c>
      <x:c r="K95" s="11" t="str">
        <x:v>Suivez les rails du regard depuis le même point de départ.</x:v>
      </x:c>
      <x:c r="L95" s="11" t="str">
        <x:v>Tirage propre au métro.</x:v>
      </x:c>
      <x:c r="M95" s="11" t="str">
        <x:v>Un tracé impossible absent de la référence confirme.</x:v>
      </x:c>
      <x:c r="N95" s="11" t="str">
        <x:v>Les joueurs inspectent depuis une zone sûre et ne doivent pas marcher sur les rails pour voir l’indice.</x:v>
      </x:c>
      <x:c r="O95" s="11" t="str">
        <x:v>Segments de rails et traverses modulaires.</x:v>
      </x:c>
      <x:c r="P95" s="11" t="str">
        <x:v>metro_tracks</x:v>
      </x:c>
      <x:c r="Q95" s="17" t="n">
        <x:v>2</x:v>
      </x:c>
      <x:c r="R95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5" s="19" t="str">
        <x:v>—</x:v>
      </x:c>
      <x:c r="T95" s="19" t="str">
        <x:v>Oui</x:v>
      </x:c>
      <x:c r="U95" s="19" t="str">
        <x:v>—</x:v>
      </x:c>
      <x:c r="V95" s="11" t="str">
        <x:v>Visuel / objet / espace</x:v>
      </x:c>
    </x:row>
    <x:row r="96" ht="77" customHeight="1">
      <x:c r="A96" s="12" t="str">
        <x:v>PX-091</x:v>
      </x:c>
      <x:c r="B96" s="12" t="str">
        <x:v>Le lit en apesanteur</x:v>
      </x:c>
      <x:c r="C96" s="12" t="str">
        <x:v>Clinique</x:v>
      </x:c>
      <x:c r="D96" s="12" t="str">
        <x:v>Présent</x:v>
      </x:c>
      <x:c r="E96" s="13" t="str">
        <x:v>Implémenté — QA partielle</x:v>
      </x:c>
      <x:c r="F96" s="16" t="n">
        <x:v>3</x:v>
      </x:c>
      <x:c r="G96" s="12" t="str">
        <x:v>Salle de soins</x:v>
      </x:c>
      <x:c r="H96" s="12" t="str">
        <x:v>Le lit repose sur le sol.</x:v>
      </x:c>
      <x:c r="I96" s="12" t="str">
        <x:v>Le lit s’élève au-dessus du sol.</x:v>
      </x:c>
      <x:c r="J96" s="12" t="str">
        <x:v>Le lit reste immobile au sol.</x:v>
      </x:c>
      <x:c r="K96" s="12" t="str">
        <x:v>Comparez les roulettes et leur contact avec le revêtement.</x:v>
      </x:c>
      <x:c r="L96" s="12" t="str">
        <x:v>Tirage propre à la clinique.</x:v>
      </x:c>
      <x:c r="M96" s="12" t="str">
        <x:v>Le mouvement du mobilier vide confirme.</x:v>
      </x:c>
      <x:c r="N96" s="12" t="str">
        <x:v>Aucun patient ni souffrance représentée. Le lit ne bouche jamais la sortie.</x:v>
      </x:c>
      <x:c r="O96" s="12" t="str">
        <x:v>Lit médical détaillé, roues, matelas et animation lente.</x:v>
      </x:c>
      <x:c r="P96" s="12" t="str">
        <x:v>clinic_bed</x:v>
      </x:c>
      <x:c r="Q96" s="16" t="n">
        <x:v>1</x:v>
      </x:c>
      <x:c r="R96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6" s="18" t="str">
        <x:v>—</x:v>
      </x:c>
      <x:c r="T96" s="18" t="str">
        <x:v>—</x:v>
      </x:c>
      <x:c r="U96" s="18" t="str">
        <x:v>Oui</x:v>
      </x:c>
      <x:c r="V96" s="12" t="str">
        <x:v>Visuel / objet / espace</x:v>
      </x:c>
    </x:row>
    <x:row r="97" ht="77" customHeight="1">
      <x:c r="A97" s="11" t="str">
        <x:v>PX-092</x:v>
      </x:c>
      <x:c r="B97" s="11" t="str">
        <x:v>Le pouls impossible</x:v>
      </x:c>
      <x:c r="C97" s="11" t="str">
        <x:v>Clinique</x:v>
      </x:c>
      <x:c r="D97" s="11" t="str">
        <x:v>Présent</x:v>
      </x:c>
      <x:c r="E97" s="13" t="str">
        <x:v>Implémenté — QA partielle</x:v>
      </x:c>
      <x:c r="F97" s="17" t="n">
        <x:v>3</x:v>
      </x:c>
      <x:c r="G97" s="11" t="str">
        <x:v>Moniteur</x:v>
      </x:c>
      <x:c r="H97" s="11" t="str">
        <x:v>Le moniteur affiche FC 072 / RYTHME SINUSAL et un tracé régulier.</x:v>
      </x:c>
      <x:c r="I97" s="11" t="str">
        <x:v>L’affichage du moniteur se transforme en signal inquiétant.</x:v>
      </x:c>
      <x:c r="J97" s="11" t="str">
        <x:v>Le tracé demeure normal.</x:v>
      </x:c>
      <x:c r="K97" s="11" t="str">
        <x:v>Décrivez la forme et la couleur du tracé dans chaque perception.</x:v>
      </x:c>
      <x:c r="L97" s="11" t="str">
        <x:v>Tirage propre à la clinique.</x:v>
      </x:c>
      <x:c r="M97" s="11" t="str">
        <x:v>L’écart local de contenu sur le même écran constitue la preuve.</x:v>
      </x:c>
      <x:c r="N97" s="11" t="str">
        <x:v>Aucune connaissance médicale n’est requise. Le passage de référence montre la forme attendue.</x:v>
      </x:c>
      <x:c r="O97" s="11" t="str">
        <x:v>Moniteur, écran animé, typographie et indicateurs.</x:v>
      </x:c>
      <x:c r="P97" s="11" t="str">
        <x:v>clinic_monitor</x:v>
      </x:c>
      <x:c r="Q97" s="17" t="n">
        <x:v>2</x:v>
      </x:c>
      <x:c r="R97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7" s="19" t="str">
        <x:v>—</x:v>
      </x:c>
      <x:c r="T97" s="19" t="str">
        <x:v>—</x:v>
      </x:c>
      <x:c r="U97" s="19" t="str">
        <x:v>Oui</x:v>
      </x:c>
      <x:c r="V97" s="11" t="str">
        <x:v>Visuel / objet / espace</x:v>
      </x:c>
    </x:row>
    <x:row r="98" ht="77" customHeight="1">
      <x:c r="A98" s="12" t="str">
        <x:v>PX-093</x:v>
      </x:c>
      <x:c r="B98" s="12" t="str">
        <x:v>Derrière le rideau</x:v>
      </x:c>
      <x:c r="C98" s="12" t="str">
        <x:v>Clinique</x:v>
      </x:c>
      <x:c r="D98" s="12" t="str">
        <x:v>Présent</x:v>
      </x:c>
      <x:c r="E98" s="13" t="str">
        <x:v>Implémenté — QA partielle</x:v>
      </x:c>
      <x:c r="F98" s="16" t="n">
        <x:v>4</x:v>
      </x:c>
      <x:c r="G98" s="12" t="str">
        <x:v>Paravent</x:v>
      </x:c>
      <x:c r="H98" s="12" t="str">
        <x:v>Le rideau garde sa position de référence.</x:v>
      </x:c>
      <x:c r="I98" s="12" t="str">
        <x:v>Le rideau se déplace ou révèle une présence impossible.</x:v>
      </x:c>
      <x:c r="J98" s="12" t="str">
        <x:v>Le paravent reste vide.</x:v>
      </x:c>
      <x:c r="K98" s="12" t="str">
        <x:v>Comparez l’ouverture et ce qu’elle laisse voir.</x:v>
      </x:c>
      <x:c r="L98" s="12" t="str">
        <x:v>Tirage propre à la clinique.</x:v>
      </x:c>
      <x:c r="M98" s="12" t="str">
        <x:v>La présence ajoutée suffit. Contourner le paravent n’est pas obligatoire.</x:v>
      </x:c>
      <x:c r="N98" s="12" t="str">
        <x:v>Pas de surgissement obligatoire ni d’attaque nécessaire à la preuve.</x:v>
      </x:c>
      <x:c r="O98" s="12" t="str">
        <x:v>Cadre de paravent, tissu et silhouette locale.</x:v>
      </x:c>
      <x:c r="P98" s="12" t="str">
        <x:v>clinic_curtain</x:v>
      </x:c>
      <x:c r="Q98" s="16" t="n">
        <x:v>2</x:v>
      </x:c>
      <x:c r="R98" s="12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8" s="18" t="str">
        <x:v>—</x:v>
      </x:c>
      <x:c r="T98" s="18" t="str">
        <x:v>—</x:v>
      </x:c>
      <x:c r="U98" s="18" t="str">
        <x:v>Oui</x:v>
      </x:c>
      <x:c r="V98" s="12" t="str">
        <x:v>Visuel / objet / espace</x:v>
      </x:c>
    </x:row>
    <x:row r="99" ht="77" customHeight="1">
      <x:c r="A99" s="11" t="str">
        <x:v>PX-094</x:v>
      </x:c>
      <x:c r="B99" s="11" t="str">
        <x:v>Le fauteuil déplacé</x:v>
      </x:c>
      <x:c r="C99" s="11" t="str">
        <x:v>Clinique</x:v>
      </x:c>
      <x:c r="D99" s="11" t="str">
        <x:v>Présent</x:v>
      </x:c>
      <x:c r="E99" s="13" t="str">
        <x:v>Implémenté — QA partielle</x:v>
      </x:c>
      <x:c r="F99" s="17" t="n">
        <x:v>3</x:v>
      </x:c>
      <x:c r="G99" s="11" t="str">
        <x:v>Fauteuil roulant</x:v>
      </x:c>
      <x:c r="H99" s="11" t="str">
        <x:v>Le fauteuil roulant demeure immobile à son emplacement.</x:v>
      </x:c>
      <x:c r="I99" s="11" t="str">
        <x:v>Le fauteuil roulant se déplace hors de sa position normale.</x:v>
      </x:c>
      <x:c r="J99" s="11" t="str">
        <x:v>Son orientation reste fixe.</x:v>
      </x:c>
      <x:c r="K99" s="11" t="str">
        <x:v>Utilisez la porte voisine comme repère commun.</x:v>
      </x:c>
      <x:c r="L99" s="11" t="str">
        <x:v>Tirage propre à la clinique.</x:v>
      </x:c>
      <x:c r="M99" s="11" t="str">
        <x:v>La rotation autonome répétée confirme.</x:v>
      </x:c>
      <x:c r="N99" s="11" t="str">
        <x:v>L’objet ne heurte pas les avatars. Une animation lente suffit à la lecture.</x:v>
      </x:c>
      <x:c r="O99" s="11" t="str">
        <x:v>Fauteuil détaillé, roues, accoudoirs et pivot.</x:v>
      </x:c>
      <x:c r="P99" s="11" t="str">
        <x:v>clinic_wheelchair</x:v>
      </x:c>
      <x:c r="Q99" s="17" t="n">
        <x:v>2</x:v>
      </x:c>
      <x:c r="R99" s="11" t="str">
        <x:v>Preuves v0.2 conservées : ID intégré au catalogue et aux règles. 17 tests de règles couvrent les 54 cas ; 11 suites CPU couvrent 48 preuves visuelles et leur reset. Pixels, shaders, reflet final et FPS restent à tester sur GPU réel.</x:v>
      </x:c>
      <x:c r="S99" s="19" t="str">
        <x:v>—</x:v>
      </x:c>
      <x:c r="T99" s="19" t="str">
        <x:v>—</x:v>
      </x:c>
      <x:c r="U99" s="19" t="str">
        <x:v>Oui</x:v>
      </x:c>
      <x:c r="V99" s="11" t="str">
        <x:v>Visuel / objet / espace</x:v>
      </x:c>
    </x:row>
    <x:row r="100" ht="77" customHeight="1">
      <x:c r="A100" s="12" t="str">
        <x:v>PX-095</x:v>
      </x:c>
      <x:c r="B100" s="12" t="str">
        <x:v>La réponse doublée</x:v>
      </x:c>
      <x:c r="C100" s="12" t="str">
        <x:v>Radio audio</x:v>
      </x:c>
      <x:c r="D100" s="12" t="str">
        <x:v>Présent</x:v>
      </x:c>
      <x:c r="E100" s="13" t="str">
        <x:v>Implémenté — QA partielle</x:v>
      </x:c>
      <x:c r="F100" s="16" t="n">
        <x:v>3</x:v>
      </x:c>
      <x:c r="G100" s="12" t="str">
        <x:v>Réception du talkie</x:v>
      </x:c>
      <x:c r="H100" s="12" t="str">
        <x:v>Le contrôle radio joue une seule fois chacune des tonalités 1, 2 et 3.</x:v>
      </x:c>
      <x:c r="I100" s="12" t="str">
        <x:v>La réception et le contrôle de calibration renvoient un écho doublant la séquence.</x:v>
      </x:c>
      <x:c r="J100" s="12" t="str">
        <x:v>La séquence reste 1, 2, 3 sans doublon.</x:v>
      </x:c>
      <x:c r="K100" s="12" t="str">
        <x:v>Lancez le contrôle radio chacun à votre tour et comparez sa transcription.</x:v>
      </x:c>
      <x:c r="L100" s="12" t="str">
        <x:v>Test d’étalonnage volontaire ou réception réelle d’une transmission.</x:v>
      </x:c>
      <x:c r="M100" s="12" t="str">
        <x:v>Les répétitions déterministes du test constituent la preuve, même si personne ne parle.</x:v>
      </x:c>
      <x:c r="N100" s="12" t="str">
        <x:v>Le transport réel est diagnostiqué séparément. Aucun enregistrement, clonage vocal ou délai réseau supposé ne décide de la vérité.</x:v>
      </x:c>
      <x:c r="O100" s="12" t="str">
        <x:v>WebAudio Delay, feedback borné, processeur de réception et transcription.</x:v>
      </x:c>
      <x:c r="P100" s="12" t="str">
        <x:v>radio_echo</x:v>
      </x:c>
      <x:c r="Q100" s="16" t="n">
        <x:v>2</x:v>
      </x:c>
      <x:c r="R100" s="12" t="str">
        <x:v>Réception WebAudio et calibration déterministe intégrées. 19 tests radio réussis, dont relevés sans micro/réseau, PTT, consentement et annulation des demandes micro obsolètes. Écoute humaine, microphones physiques et TURN réel restent à éprouver.</x:v>
      </x:c>
      <x:c r="S100" s="18" t="str">
        <x:v>Oui</x:v>
      </x:c>
      <x:c r="T100" s="18" t="str">
        <x:v>Oui</x:v>
      </x:c>
      <x:c r="U100" s="18" t="str">
        <x:v>Oui</x:v>
      </x:c>
      <x:c r="V100" s="12" t="str">
        <x:v>Audio + relevé écrit</x:v>
      </x:c>
    </x:row>
    <x:row r="101" ht="77" customHeight="1">
      <x:c r="A101" s="11" t="str">
        <x:v>PX-096</x:v>
      </x:c>
      <x:c r="B101" s="11" t="str">
        <x:v>La syllabe coupée</x:v>
      </x:c>
      <x:c r="C101" s="11" t="str">
        <x:v>Radio audio</x:v>
      </x:c>
      <x:c r="D101" s="11" t="str">
        <x:v>Présent</x:v>
      </x:c>
      <x:c r="E101" s="13" t="str">
        <x:v>Implémenté — QA partielle</x:v>
      </x:c>
      <x:c r="F101" s="17" t="n">
        <x:v>3</x:v>
      </x:c>
      <x:c r="G101" s="11" t="str">
        <x:v>Réception du talkie</x:v>
      </x:c>
      <x:c r="H101" s="11" t="str">
        <x:v>Les trois tonalités de calibration sont distinctes et complètes.</x:v>
      </x:c>
      <x:c r="I101" s="11" t="str">
        <x:v>La seconde tonalité du contrôle manque et la réception subit des coupures régulières.</x:v>
      </x:c>
      <x:c r="J101" s="11" t="str">
        <x:v>Les trois étapes restent présentes.</x:v>
      </x:c>
      <x:c r="K101" s="11" t="str">
        <x:v>Comparez le contrôle 1 / 2 / 3 et son résultat écrit, même sans micro.</x:v>
      </x:c>
      <x:c r="L101" s="11" t="str">
        <x:v>Étalonnage volontaire ou transmission reçue.</x:v>
      </x:c>
      <x:c r="M101" s="11" t="str">
        <x:v>Le test local reproductible omettant 2 est la preuve.</x:v>
      </x:c>
      <x:c r="N101" s="11" t="str">
        <x:v>Une perte de paquets réelle n’est jamais étiquetée anomalie. Le résultat du test reste indépendant du microphone.</x:v>
      </x:c>
      <x:c r="O101" s="11" t="str">
        <x:v>Gate temporel, séquence déterministe, transcription accessible.</x:v>
      </x:c>
      <x:c r="P101" s="11" t="str">
        <x:v>radio_chop</x:v>
      </x:c>
      <x:c r="Q101" s="17" t="n">
        <x:v>2</x:v>
      </x:c>
      <x:c r="R101" s="11" t="str">
        <x:v>Réception WebAudio et calibration déterministe intégrées. 19 tests radio réussis, dont relevés sans micro/réseau, PTT, consentement et annulation des demandes micro obsolètes. Écoute humaine, microphones physiques et TURN réel restent à éprouver.</x:v>
      </x:c>
      <x:c r="S101" s="19" t="str">
        <x:v>Oui</x:v>
      </x:c>
      <x:c r="T101" s="19" t="str">
        <x:v>Oui</x:v>
      </x:c>
      <x:c r="U101" s="19" t="str">
        <x:v>Oui</x:v>
      </x:c>
      <x:c r="V101" s="11" t="str">
        <x:v>Audio + relevé écrit</x:v>
      </x:c>
    </x:row>
    <x:row r="102" ht="77" customHeight="1">
      <x:c r="A102" s="12" t="str">
        <x:v>PX-097</x:v>
      </x:c>
      <x:c r="B102" s="12" t="str">
        <x:v>La fréquence habitée</x:v>
      </x:c>
      <x:c r="C102" s="12" t="str">
        <x:v>Radio audio</x:v>
      </x:c>
      <x:c r="D102" s="12" t="str">
        <x:v>Présent</x:v>
      </x:c>
      <x:c r="E102" s="13" t="str">
        <x:v>Implémenté — QA partielle</x:v>
      </x:c>
      <x:c r="F102" s="16" t="n">
        <x:v>4</x:v>
      </x:c>
      <x:c r="G102" s="12" t="str">
        <x:v>Réception du talkie</x:v>
      </x:c>
      <x:c r="H102" s="12" t="str">
        <x:v>Le contrôle radio reste clair entre ses trois tonalités.</x:v>
      </x:c>
      <x:c r="I102" s="12" t="str">
        <x:v>Un grésillement anormal recouvre le contrôle et la réception.</x:v>
      </x:c>
      <x:c r="J102" s="12" t="str">
        <x:v>Le test reste clair.</x:v>
      </x:c>
      <x:c r="K102" s="12" t="str">
        <x:v>Comparez le résultat local de calibration avec celui de votre partenaire.</x:v>
      </x:c>
      <x:c r="L102" s="12" t="str">
        <x:v>Étalonnage ou voix entrante.</x:v>
      </x:c>
      <x:c r="M102" s="12" t="str">
        <x:v>Le bruit ajouté par le test déterministe confirme.</x:v>
      </x:c>
      <x:c r="N102" s="12" t="str">
        <x:v>Distinguer souffle de jeu et problème de micro. Préserver la possibilité de réduire le volume ou de jouer via texte.</x:v>
      </x:c>
      <x:c r="O102" s="12" t="str">
        <x:v>Bruit synthétique filtré, gain plafonné et transcription.</x:v>
      </x:c>
      <x:c r="P102" s="12" t="str">
        <x:v>radio_static</x:v>
      </x:c>
      <x:c r="Q102" s="16" t="n">
        <x:v>2</x:v>
      </x:c>
      <x:c r="R102" s="12" t="str">
        <x:v>Réception WebAudio et calibration déterministe intégrées. 19 tests radio réussis, dont relevés sans micro/réseau, PTT, consentement et annulation des demandes micro obsolètes. Écoute humaine, microphones physiques et TURN réel restent à éprouver.</x:v>
      </x:c>
      <x:c r="S102" s="18" t="str">
        <x:v>Oui</x:v>
      </x:c>
      <x:c r="T102" s="18" t="str">
        <x:v>Oui</x:v>
      </x:c>
      <x:c r="U102" s="18" t="str">
        <x:v>Oui</x:v>
      </x:c>
      <x:c r="V102" s="12" t="str">
        <x:v>Audio + relevé écrit</x:v>
      </x:c>
    </x:row>
    <x:row r="103" ht="77" customHeight="1">
      <x:c r="A103" s="11" t="str">
        <x:v>PX-098</x:v>
      </x:c>
      <x:c r="B103" s="11" t="str">
        <x:v>La modulation étrangère</x:v>
      </x:c>
      <x:c r="C103" s="11" t="str">
        <x:v>Radio audio</x:v>
      </x:c>
      <x:c r="D103" s="11" t="str">
        <x:v>Présent</x:v>
      </x:c>
      <x:c r="E103" s="13" t="str">
        <x:v>Implémenté — QA partielle</x:v>
      </x:c>
      <x:c r="F103" s="17" t="n">
        <x:v>4</x:v>
      </x:c>
      <x:c r="G103" s="11" t="str">
        <x:v>Réception du talkie</x:v>
      </x:c>
      <x:c r="H103" s="11" t="str">
        <x:v>Le contrôle joue trois tonalités nettes sans modulation métallique.</x:v>
      </x:c>
      <x:c r="I103" s="11" t="str">
        <x:v>La réception et la calibration prennent une modulation métallique instable.</x:v>
      </x:c>
      <x:c r="J103" s="11" t="str">
        <x:v>Le traitement normal demeure.</x:v>
      </x:c>
      <x:c r="K103" s="11" t="str">
        <x:v>Comparez la texture du son ou le compte rendu écrit du contrôle.</x:v>
      </x:c>
      <x:c r="L103" s="11" t="str">
        <x:v>Étalonnage ou voix entrante.</x:v>
      </x:c>
      <x:c r="M103" s="11" t="str">
        <x:v>Une modulation déterministe absente du témoin est la preuve.</x:v>
      </x:c>
      <x:c r="N103" s="11" t="str">
        <x:v>Ce traitement ne clone pas une voix et ne fabrique pas des phrases dites par un joueur.</x:v>
      </x:c>
      <x:c r="O103" s="11" t="str">
        <x:v>Modulation WebAudio à intensité bornée et bande radio.</x:v>
      </x:c>
      <x:c r="P103" s="11" t="str">
        <x:v>radio_detune</x:v>
      </x:c>
      <x:c r="Q103" s="17" t="n">
        <x:v>2</x:v>
      </x:c>
      <x:c r="R103" s="11" t="str">
        <x:v>Réception WebAudio et calibration déterministe intégrées. 19 tests radio réussis, dont relevés sans micro/réseau, PTT, consentement et annulation des demandes micro obsolètes. Écoute humaine, microphones physiques et TURN réel restent à éprouver.</x:v>
      </x:c>
      <x:c r="S103" s="19" t="str">
        <x:v>Oui</x:v>
      </x:c>
      <x:c r="T103" s="19" t="str">
        <x:v>Oui</x:v>
      </x:c>
      <x:c r="U103" s="19" t="str">
        <x:v>Oui</x:v>
      </x:c>
      <x:c r="V103" s="11" t="str">
        <x:v>Audio + relevé écrit</x:v>
      </x:c>
    </x:row>
    <x:row r="104" ht="77" customHeight="1">
      <x:c r="A104" s="12" t="str">
        <x:v>PX-099</x:v>
      </x:c>
      <x:c r="B104" s="12" t="str">
        <x:v>Le canal quatre-vingt-dix-neuf</x:v>
      </x:c>
      <x:c r="C104" s="12" t="str">
        <x:v>Radio audio</x:v>
      </x:c>
      <x:c r="D104" s="12" t="str">
        <x:v>Présent</x:v>
      </x:c>
      <x:c r="E104" s="13" t="str">
        <x:v>Implémenté — QA partielle</x:v>
      </x:c>
      <x:c r="F104" s="16" t="n">
        <x:v>3</x:v>
      </x:c>
      <x:c r="G104" s="12" t="str">
        <x:v>Étalonnage du talkie</x:v>
      </x:c>
      <x:c r="H104" s="12" t="str">
        <x:v>Le canal de contrôle transmet la séquence 1, 2, 3.</x:v>
      </x:c>
      <x:c r="I104" s="12" t="str">
        <x:v>Le test de réception transmet 9, 9, 0 au lieu de 1, 2, 3.</x:v>
      </x:c>
      <x:c r="J104" s="12" t="str">
        <x:v>Le test du partenaire reste 1, 2, 3.</x:v>
      </x:c>
      <x:c r="K104" s="12" t="str">
        <x:v>Énoncez les trois chiffres reçus ou lisez leurs transcriptions.</x:v>
      </x:c>
      <x:c r="L104" s="12" t="str">
        <x:v>Bouton Étalonner, disponible sans autoriser le microphone.</x:v>
      </x:c>
      <x:c r="M104" s="12" t="str">
        <x:v>Deux séquences incompatibles pour le même test confirment.</x:v>
      </x:c>
      <x:c r="N104" s="12" t="str">
        <x:v>Aucun véritable canal privé d’une autre salle n’est écouté. Il s’agit d’un effet local fictif.</x:v>
      </x:c>
      <x:c r="O104" s="12" t="str">
        <x:v>Séquence synthétique alternative et retour de réception.</x:v>
      </x:c>
      <x:c r="P104" s="12" t="str">
        <x:v>radio_wrong_channel</x:v>
      </x:c>
      <x:c r="Q104" s="16" t="n">
        <x:v>3</x:v>
      </x:c>
      <x:c r="R104" s="12" t="str">
        <x:v>Réception WebAudio et calibration déterministe intégrées. 19 tests radio réussis, dont relevés sans micro/réseau, PTT, consentement et annulation des demandes micro obsolètes. Écoute humaine, microphones physiques et TURN réel restent à éprouver.</x:v>
      </x:c>
      <x:c r="S104" s="18" t="str">
        <x:v>Oui</x:v>
      </x:c>
      <x:c r="T104" s="18" t="str">
        <x:v>Oui</x:v>
      </x:c>
      <x:c r="U104" s="18" t="str">
        <x:v>Oui</x:v>
      </x:c>
      <x:c r="V104" s="12" t="str">
        <x:v>Audio + relevé écrit</x:v>
      </x:c>
    </x:row>
    <x:row r="105" ht="77" customHeight="1">
      <x:c r="A105" s="11" t="str">
        <x:v>PX-100</x:v>
      </x:c>
      <x:c r="B105" s="11" t="str">
        <x:v>Après la fin</x:v>
      </x:c>
      <x:c r="C105" s="11" t="str">
        <x:v>Radio audio</x:v>
      </x:c>
      <x:c r="D105" s="11" t="str">
        <x:v>Présent</x:v>
      </x:c>
      <x:c r="E105" s="13" t="str">
        <x:v>Implémenté — QA partielle</x:v>
      </x:c>
      <x:c r="F105" s="17" t="n">
        <x:v>4</x:v>
      </x:c>
      <x:c r="G105" s="11" t="str">
        <x:v>Réception du talkie</x:v>
      </x:c>
      <x:c r="H105" s="11" t="str">
        <x:v>La porteuse s’arrête après la troisième tonalité de contrôle.</x:v>
      </x:c>
      <x:c r="I105" s="11" t="str">
        <x:v>Une porteuse basse revient après la fin annoncée du contrôle ou d’une transmission.</x:v>
      </x:c>
      <x:c r="J105" s="11" t="str">
        <x:v>La fin du test est silencieuse.</x:v>
      </x:c>
      <x:c r="K105" s="11" t="str">
        <x:v>Attendez la fin du test avant de comparer son résultat.</x:v>
      </x:c>
      <x:c r="L105" s="11" t="str">
        <x:v>Fin de l’étalonnage ou de la réception.</x:v>
      </x:c>
      <x:c r="M105" s="11" t="str">
        <x:v>La porteuse anormale reproduite par le test confirme.</x:v>
      </x:c>
      <x:c r="N105" s="11" t="str">
        <x:v>Un indicateur fiable confirme que le vrai microphone est fermé. La fiction ne masque jamais une transmission encore active.</x:v>
      </x:c>
      <x:c r="O105" s="11" t="str">
        <x:v>Oscillateur de fin, enveloppe bornée et transcription accessible.</x:v>
      </x:c>
      <x:c r="P105" s="11" t="str">
        <x:v>radio_aftertone</x:v>
      </x:c>
      <x:c r="Q105" s="17" t="n">
        <x:v>2</x:v>
      </x:c>
      <x:c r="R105" s="11" t="str">
        <x:v>Réception WebAudio et calibration déterministe intégrées. 19 tests radio réussis, dont relevés sans micro/réseau, PTT, consentement et annulation des demandes micro obsolètes. Écoute humaine, microphones physiques et TURN réel restent à éprouver.</x:v>
      </x:c>
      <x:c r="S105" s="19" t="str">
        <x:v>Oui</x:v>
      </x:c>
      <x:c r="T105" s="19" t="str">
        <x:v>Oui</x:v>
      </x:c>
      <x:c r="U105" s="19" t="str">
        <x:v>Oui</x:v>
      </x:c>
      <x:c r="V105" s="11" t="str">
        <x:v>Audio + relevé écrit</x:v>
      </x:c>
    </x:row>
    <x:row r="106" ht="51" customHeight="1">
      <x:c r="A106" s="12" t="str">
        <x:v>PX-101</x:v>
      </x:c>
      <x:c r="B106" s="12" t="str">
        <x:v>Le clic qui manque</x:v>
      </x:c>
      <x:c r="C106" s="12" t="str">
        <x:v>Radio audio</x:v>
      </x:c>
      <x:c r="D106" s="12" t="str">
        <x:v>Prévu</x:v>
      </x:c>
      <x:c r="E106" s="13" t="str">
        <x:v>Conçu — non implémenté</x:v>
      </x:c>
      <x:c r="F106" s="16" t="n">
        <x:v>2</x:v>
      </x:c>
      <x:c r="G106" s="12" t="str">
        <x:v>Talkie</x:v>
      </x:c>
      <x:c r="H106" s="12" t="str">
        <x:v>Un clic d’ouverture et un clic de fermeture encadrent le test.</x:v>
      </x:c>
      <x:c r="I106" s="12" t="str">
        <x:v>Le clic de fermeture manque malgré la fin confirmée du test.</x:v>
      </x:c>
      <x:c r="J106" s="12" t="str">
        <x:v>Il entend les deux clics.</x:v>
      </x:c>
      <x:c r="K106" s="12" t="str">
        <x:v>Décrire début et fin sur deux essais successifs.</x:v>
      </x:c>
      <x:c r="L106" s="12" t="str">
        <x:v>Étalonnage volontaire futur.</x:v>
      </x:c>
      <x:c r="M106" s="12" t="str">
        <x:v>L’absence reproductible d’un clic de référence constitue une anomalie légère.</x:v>
      </x:c>
      <x:c r="N106" s="12" t="str">
        <x:v>L’icône réelle de transmission doit s’éteindre normalement pour ne pas suggérer un micro encore ouvert.</x:v>
      </x:c>
      <x:c r="O106" s="12" t="str">
        <x:v>Squelch distinct début/fin, état factuel et transcription.</x:v>
      </x:c>
      <x:c r="P106" s="12" t="str">
        <x:v>radio_no_squelch</x:v>
      </x:c>
      <x:c r="Q106" s="16" t="n">
        <x:v>2</x:v>
      </x:c>
      <x:c r="R106" s="12" t="str">
        <x:v>Spécification originale ; effet absent du catalogue runtime v0.2.1.</x:v>
      </x:c>
      <x:c r="S106" s="18" t="str">
        <x:v>—</x:v>
      </x:c>
      <x:c r="T106" s="18" t="str">
        <x:v>—</x:v>
      </x:c>
      <x:c r="U106" s="18" t="str">
        <x:v>—</x:v>
      </x:c>
      <x:c r="V106" s="12" t="str">
        <x:v>Audio + relevé écrit</x:v>
      </x:c>
    </x:row>
    <x:row r="107" ht="51" customHeight="1">
      <x:c r="A107" s="11" t="str">
        <x:v>PX-102</x:v>
      </x:c>
      <x:c r="B107" s="11" t="str">
        <x:v>Les chiffres au mauvais endroit</x:v>
      </x:c>
      <x:c r="C107" s="11" t="str">
        <x:v>Radio relationnelle</x:v>
      </x:c>
      <x:c r="D107" s="11" t="str">
        <x:v>Prévu</x:v>
      </x:c>
      <x:c r="E107" s="13" t="str">
        <x:v>Conçu — non implémenté</x:v>
      </x:c>
      <x:c r="F107" s="17" t="n">
        <x:v>3</x:v>
      </x:c>
      <x:c r="G107" s="11" t="str">
        <x:v>Talkie et panneau relais</x:v>
      </x:c>
      <x:c r="H107" s="11" t="str">
        <x:v>Le test du talkie recopie les quatre chiffres du relais du passage.</x:v>
      </x:c>
      <x:c r="I107" s="11" t="str">
        <x:v>Le code parlé par le test diffère de son propre afficheur.</x:v>
      </x:c>
      <x:c r="J107" s="11" t="str">
        <x:v>Son test correspond à son afficheur.</x:v>
      </x:c>
      <x:c r="K107" s="11" t="str">
        <x:v>Un inspecteur lit le panneau, l’autre répète la séquence synthétique reçue, puis échange les rôles.</x:v>
      </x:c>
      <x:c r="L107" s="11" t="str">
        <x:v>Étalonnage croisé futur.</x:v>
      </x:c>
      <x:c r="M107" s="11" t="str">
        <x:v>Une divergence entre l’appareil et son panneau de référence confirme.</x:v>
      </x:c>
      <x:c r="N107" s="11" t="str">
        <x:v>Aucune reconnaissance de voix ni utilisation de fichiers audio personnels.</x:v>
      </x:c>
      <x:c r="O107" s="11" t="str">
        <x:v>Synthèse de chiffres originaux, code de passage et texte accessible.</x:v>
      </x:c>
      <x:c r="P107" s="11" t="str">
        <x:v>radio_countercode</x:v>
      </x:c>
      <x:c r="Q107" s="17" t="n">
        <x:v>2</x:v>
      </x:c>
      <x:c r="R107" s="11" t="str">
        <x:v>Spécification originale ; effet absent du catalogue runtime v0.2.1.</x:v>
      </x:c>
      <x:c r="S107" s="19" t="str">
        <x:v>—</x:v>
      </x:c>
      <x:c r="T107" s="19" t="str">
        <x:v>—</x:v>
      </x:c>
      <x:c r="U107" s="19" t="str">
        <x:v>—</x:v>
      </x:c>
      <x:c r="V107" s="11" t="str">
        <x:v>Audio + relevé écrit</x:v>
      </x:c>
    </x:row>
    <x:row r="108" ht="51" customHeight="1">
      <x:c r="A108" s="12" t="str">
        <x:v>PX-103</x:v>
      </x:c>
      <x:c r="B108" s="12" t="str">
        <x:v>Le canal de gauche</x:v>
      </x:c>
      <x:c r="C108" s="12" t="str">
        <x:v>Radio audio</x:v>
      </x:c>
      <x:c r="D108" s="12" t="str">
        <x:v>Prévu</x:v>
      </x:c>
      <x:c r="E108" s="13" t="str">
        <x:v>Conçu — non implémenté</x:v>
      </x:c>
      <x:c r="F108" s="16" t="n">
        <x:v>2</x:v>
      </x:c>
      <x:c r="G108" s="12" t="str">
        <x:v>Casque / talkie</x:v>
      </x:c>
      <x:c r="H108" s="12" t="str">
        <x:v>Le signal de test est centré et identique sur les deux canaux.</x:v>
      </x:c>
      <x:c r="I108" s="12" t="str">
        <x:v>Le test se déplace complètement d’un côté malgré le réglage centré.</x:v>
      </x:c>
      <x:c r="J108" s="12" t="str">
        <x:v>Le test reste centré.</x:v>
      </x:c>
      <x:c r="K108" s="12" t="str">
        <x:v>Comparer le retour visuel gauche/droite du test après vérification du périphérique.</x:v>
      </x:c>
      <x:c r="L108" s="12" t="str">
        <x:v>Étalonnage stéréo futur.</x:v>
      </x:c>
      <x:c r="M108" s="12" t="str">
        <x:v>Le signal local de test confirme un déplacement délibéré.</x:v>
      </x:c>
      <x:c r="N108" s="12" t="str">
        <x:v>Mode mono et transcription indispensables. Une panne d’écouteur réelle est un défaut matériel, pas une anomalie.</x:v>
      </x:c>
      <x:c r="O108" s="12" t="str">
        <x:v>Panner stéréo, indicateurs gauche/droite.</x:v>
      </x:c>
      <x:c r="P108" s="12" t="str">
        <x:v>radio_left_only</x:v>
      </x:c>
      <x:c r="Q108" s="16" t="n">
        <x:v>2</x:v>
      </x:c>
      <x:c r="R108" s="12" t="str">
        <x:v>Spécification originale ; effet absent du catalogue runtime v0.2.1.</x:v>
      </x:c>
      <x:c r="S108" s="18" t="str">
        <x:v>—</x:v>
      </x:c>
      <x:c r="T108" s="18" t="str">
        <x:v>—</x:v>
      </x:c>
      <x:c r="U108" s="18" t="str">
        <x:v>—</x:v>
      </x:c>
      <x:c r="V108" s="12" t="str">
        <x:v>Audio + relevé écrit</x:v>
      </x:c>
    </x:row>
    <x:row r="109" ht="40" customHeight="1">
      <x:c r="A109" s="11" t="str">
        <x:v>PX-104</x:v>
      </x:c>
      <x:c r="B109" s="11" t="str">
        <x:v>La réverbération impossible</x:v>
      </x:c>
      <x:c r="C109" s="11" t="str">
        <x:v>Radio audio</x:v>
      </x:c>
      <x:c r="D109" s="11" t="str">
        <x:v>Prévu</x:v>
      </x:c>
      <x:c r="E109" s="13" t="str">
        <x:v>Conçu — non implémenté</x:v>
      </x:c>
      <x:c r="F109" s="17" t="n">
        <x:v>3</x:v>
      </x:c>
      <x:c r="G109" s="11" t="str">
        <x:v>Talkie dans un espace sec</x:v>
      </x:c>
      <x:c r="H109" s="11" t="str">
        <x:v>Le test court produit une résonance faible identique entre joueurs.</x:v>
      </x:c>
      <x:c r="I109" s="11" t="str">
        <x:v>Sa réception semble provenir d’une immense salle réverbérante.</x:v>
      </x:c>
      <x:c r="J109" s="11" t="str">
        <x:v>Le test conserve son acoustique habituelle.</x:v>
      </x:c>
      <x:c r="K109" s="11" t="str">
        <x:v>Comparer longueur de la queue du test, avec une graduation visuelle équivalente.</x:v>
      </x:c>
      <x:c r="L109" s="11" t="str">
        <x:v>Étalonnage acoustique futur.</x:v>
      </x:c>
      <x:c r="M109" s="11" t="str">
        <x:v>Une réverbération synthétique anormalement longue confirme.</x:v>
      </x:c>
      <x:c r="N109" s="11" t="str">
        <x:v>Le test doit neutraliser les différences de pièce et de micro réels.</x:v>
      </x:c>
      <x:c r="O109" s="11" t="str">
        <x:v>Réponse impulsionnelle originale, filtre et visualisation de durée.</x:v>
      </x:c>
      <x:c r="P109" s="11" t="str">
        <x:v>radio_wrong_room</x:v>
      </x:c>
      <x:c r="Q109" s="17" t="n">
        <x:v>2</x:v>
      </x:c>
      <x:c r="R109" s="11" t="str">
        <x:v>Spécification originale ; effet absent du catalogue runtime v0.2.1.</x:v>
      </x:c>
      <x:c r="S109" s="19" t="str">
        <x:v>—</x:v>
      </x:c>
      <x:c r="T109" s="19" t="str">
        <x:v>—</x:v>
      </x:c>
      <x:c r="U109" s="19" t="str">
        <x:v>—</x:v>
      </x:c>
      <x:c r="V109" s="11" t="str">
        <x:v>Audio + relevé écrit</x:v>
      </x:c>
    </x:row>
    <x:row r="110" ht="40" customHeight="1">
      <x:c r="A110" s="12" t="str">
        <x:v>PX-105</x:v>
      </x:c>
      <x:c r="B110" s="12" t="str">
        <x:v>Le deuxième vient après</x:v>
      </x:c>
      <x:c r="C110" s="12" t="str">
        <x:v>Radio relationnelle</x:v>
      </x:c>
      <x:c r="D110" s="12" t="str">
        <x:v>Prévu</x:v>
      </x:c>
      <x:c r="E110" s="13" t="str">
        <x:v>Conçu — non implémenté</x:v>
      </x:c>
      <x:c r="F110" s="16" t="n">
        <x:v>2</x:v>
      </x:c>
      <x:c r="G110" s="12" t="str">
        <x:v>Talkie</x:v>
      </x:c>
      <x:c r="H110" s="12" t="str">
        <x:v>Le test suit toujours 1, 2, 3.</x:v>
      </x:c>
      <x:c r="I110" s="12" t="str">
        <x:v>Il reçoit 1, 3, 2, chaque tonalité restant claire.</x:v>
      </x:c>
      <x:c r="J110" s="12" t="str">
        <x:v>Il reçoit 1, 2, 3.</x:v>
      </x:c>
      <x:c r="K110" s="12" t="str">
        <x:v>Lire l’ordre complet sans se contenter de compter trois sons.</x:v>
      </x:c>
      <x:c r="L110" s="12" t="str">
        <x:v>Étalonnage de séquence futur.</x:v>
      </x:c>
      <x:c r="M110" s="12" t="str">
        <x:v>L’ordre contradictoire stable constitue la preuve.</x:v>
      </x:c>
      <x:c r="N110" s="12" t="str">
        <x:v>Les trois sons doivent être nettement séparés, sans exiger une précision de réflexe.</x:v>
      </x:c>
      <x:c r="O110" s="12" t="str">
        <x:v>Ordonnanceur déterministe et transcription des trois étapes.</x:v>
      </x:c>
      <x:c r="P110" s="12" t="str">
        <x:v>radio_order_swap</x:v>
      </x:c>
      <x:c r="Q110" s="16" t="n">
        <x:v>2</x:v>
      </x:c>
      <x:c r="R110" s="12" t="str">
        <x:v>Spécification originale ; effet absent du catalogue runtime v0.2.1.</x:v>
      </x:c>
      <x:c r="S110" s="18" t="str">
        <x:v>—</x:v>
      </x:c>
      <x:c r="T110" s="18" t="str">
        <x:v>—</x:v>
      </x:c>
      <x:c r="U110" s="18" t="str">
        <x:v>—</x:v>
      </x:c>
      <x:c r="V110" s="12" t="str">
        <x:v>Audio + relevé écrit</x:v>
      </x:c>
    </x:row>
    <x:row r="111" ht="40" customHeight="1">
      <x:c r="A111" s="11" t="str">
        <x:v>PX-106</x:v>
      </x:c>
      <x:c r="B111" s="11" t="str">
        <x:v>La quatrième respiration</x:v>
      </x:c>
      <x:c r="C111" s="11" t="str">
        <x:v>Radio audio</x:v>
      </x:c>
      <x:c r="D111" s="11" t="str">
        <x:v>Prévu</x:v>
      </x:c>
      <x:c r="E111" s="13" t="str">
        <x:v>Conçu — non implémenté</x:v>
      </x:c>
      <x:c r="F111" s="17" t="n">
        <x:v>4</x:v>
      </x:c>
      <x:c r="G111" s="11" t="str">
        <x:v>Talkie posé</x:v>
      </x:c>
      <x:c r="H111" s="11" t="str">
        <x:v>Le test se termine après trois impulsions et l’appareil redevient silencieux.</x:v>
      </x:c>
      <x:c r="I111" s="11" t="str">
        <x:v>Une respiration synthétique accompagne une quatrième impulsion lente.</x:v>
      </x:c>
      <x:c r="J111" s="11" t="str">
        <x:v>L’appareil redevient silencieux après trois impulsions.</x:v>
      </x:c>
      <x:c r="K111" s="11" t="str">
        <x:v>Compter les impulsions puis décrire la nature du son final.</x:v>
      </x:c>
      <x:c r="L111" s="11" t="str">
        <x:v>Après étalonnage futur.</x:v>
      </x:c>
      <x:c r="M111" s="11" t="str">
        <x:v>La quatrième étape anormale, explicitement transcrite, confirme.</x:v>
      </x:c>
      <x:c r="N111" s="11" t="str">
        <x:v>Aucune copie de souffle ou de voix réelle. Volume modéré et arrêt immédiat possible.</x:v>
      </x:c>
      <x:c r="O111" s="11" t="str">
        <x:v>Souffle original synthétique, signal visuel de quatrième impulsion.</x:v>
      </x:c>
      <x:c r="P111" s="11" t="str">
        <x:v>radio_pulse_inside</x:v>
      </x:c>
      <x:c r="Q111" s="17" t="n">
        <x:v>2</x:v>
      </x:c>
      <x:c r="R111" s="11" t="str">
        <x:v>Spécification originale ; effet absent du catalogue runtime v0.2.1.</x:v>
      </x:c>
      <x:c r="S111" s="19" t="str">
        <x:v>—</x:v>
      </x:c>
      <x:c r="T111" s="19" t="str">
        <x:v>—</x:v>
      </x:c>
      <x:c r="U111" s="19" t="str">
        <x:v>—</x:v>
      </x:c>
      <x:c r="V111" s="11" t="str">
        <x:v>Audio + relevé écrit</x:v>
      </x:c>
    </x:row>
    <x:row r="112" ht="51" customHeight="1">
      <x:c r="A112" s="12" t="str">
        <x:v>PX-107</x:v>
      </x:c>
      <x:c r="B112" s="12" t="str">
        <x:v>Le badge absent</x:v>
      </x:c>
      <x:c r="C112" s="12" t="str">
        <x:v>Personnage</x:v>
      </x:c>
      <x:c r="D112" s="12" t="str">
        <x:v>Prévu</x:v>
      </x:c>
      <x:c r="E112" s="13" t="str">
        <x:v>Conçu — non implémenté</x:v>
      </x:c>
      <x:c r="F112" s="16" t="n">
        <x:v>2</x:v>
      </x:c>
      <x:c r="G112" s="12" t="str">
        <x:v>Inspecteur</x:v>
      </x:c>
      <x:c r="H112" s="12" t="str">
        <x:v>Chaque inspecteur porte un badge lisible lié à son identité de salle.</x:v>
      </x:c>
      <x:c r="I112" s="12" t="str">
        <x:v>Le badge physique d’un collègue est devenu vierge.</x:v>
      </x:c>
      <x:c r="J112" s="12" t="str">
        <x:v>Le badge porte encore son nom ou symbole.</x:v>
      </x:c>
      <x:c r="K112" s="12" t="str">
        <x:v>Nommer le collègue par l’interface fiable puis comparer le badge de son modèle.</x:v>
      </x:c>
      <x:c r="L112" s="12" t="str">
        <x:v>Inspection de personnage future.</x:v>
      </x:c>
      <x:c r="M112" s="12" t="str">
        <x:v>Une plaque de modèle vide alors que le badge normal est connu confirme.</x:v>
      </x:c>
      <x:c r="N112" s="12" t="str">
        <x:v>Le roster d’identité ne change pas. Éviter la confusion avec un texte trop petit ou en cours de chargement.</x:v>
      </x:c>
      <x:c r="O112" s="12" t="str">
        <x:v>Badge dynamique local, texture et ancrage de torse.</x:v>
      </x:c>
      <x:c r="P112" s="12" t="str">
        <x:v>avatar_badge_missing</x:v>
      </x:c>
      <x:c r="Q112" s="16" t="n">
        <x:v>2</x:v>
      </x:c>
      <x:c r="R112" s="12" t="str">
        <x:v>Spécification originale ; effet absent du catalogue runtime v0.2.1.</x:v>
      </x:c>
      <x:c r="S112" s="18" t="str">
        <x:v>—</x:v>
      </x:c>
      <x:c r="T112" s="18" t="str">
        <x:v>—</x:v>
      </x:c>
      <x:c r="U112" s="18" t="str">
        <x:v>—</x:v>
      </x:c>
      <x:c r="V112" s="12" t="str">
        <x:v>Corps / reflet / mouvement</x:v>
      </x:c>
    </x:row>
    <x:row r="113" ht="51" customHeight="1">
      <x:c r="A113" s="11" t="str">
        <x:v>PX-108</x:v>
      </x:c>
      <x:c r="B113" s="11" t="str">
        <x:v>Le collègue trop grand</x:v>
      </x:c>
      <x:c r="C113" s="11" t="str">
        <x:v>Personnage</x:v>
      </x:c>
      <x:c r="D113" s="11" t="str">
        <x:v>Prévu</x:v>
      </x:c>
      <x:c r="E113" s="13" t="str">
        <x:v>Conçu — non implémenté</x:v>
      </x:c>
      <x:c r="F113" s="17" t="n">
        <x:v>3</x:v>
      </x:c>
      <x:c r="G113" s="11" t="str">
        <x:v>Couloir partagé</x:v>
      </x:c>
      <x:c r="H113" s="11" t="str">
        <x:v>La taille de chaque modèle reste fixe pendant la session.</x:v>
      </x:c>
      <x:c r="I113" s="11" t="str">
        <x:v>Le collègue dépasse soudain un repère architectural connu.</x:v>
      </x:c>
      <x:c r="J113" s="11" t="str">
        <x:v>Le modèle garde sa taille normale.</x:v>
      </x:c>
      <x:c r="K113" s="11" t="str">
        <x:v>Se placer près d’une porte et comparer haut du casque et montant.</x:v>
      </x:c>
      <x:c r="L113" s="11" t="str">
        <x:v>Début d’un tour futur.</x:v>
      </x:c>
      <x:c r="M113" s="11" t="str">
        <x:v>Un changement d’échelle local confirmé par repère fixe est anormal.</x:v>
      </x:c>
      <x:c r="N113" s="11" t="str">
        <x:v>Ne pas modifier la capsule physique commune. Un avatar personnalisé de grande taille ne constitue pas à lui seul une anomalie.</x:v>
      </x:c>
      <x:c r="O113" s="11" t="str">
        <x:v>Rig redimensionnable, badge conservé, référence de taille.</x:v>
      </x:c>
      <x:c r="P113" s="11" t="str">
        <x:v>avatar_height_offset</x:v>
      </x:c>
      <x:c r="Q113" s="17" t="n">
        <x:v>2</x:v>
      </x:c>
      <x:c r="R113" s="11" t="str">
        <x:v>Spécification originale ; effet absent du catalogue runtime v0.2.1.</x:v>
      </x:c>
      <x:c r="S113" s="19" t="str">
        <x:v>—</x:v>
      </x:c>
      <x:c r="T113" s="19" t="str">
        <x:v>—</x:v>
      </x:c>
      <x:c r="U113" s="19" t="str">
        <x:v>—</x:v>
      </x:c>
      <x:c r="V113" s="11" t="str">
        <x:v>Corps / reflet / mouvement</x:v>
      </x:c>
    </x:row>
    <x:row r="114" ht="51" customHeight="1">
      <x:c r="A114" s="12" t="str">
        <x:v>PX-109</x:v>
      </x:c>
      <x:c r="B114" s="12" t="str">
        <x:v>La mauvaise main</x:v>
      </x:c>
      <x:c r="C114" s="12" t="str">
        <x:v>Personnage</x:v>
      </x:c>
      <x:c r="D114" s="12" t="str">
        <x:v>Prévu</x:v>
      </x:c>
      <x:c r="E114" s="13" t="str">
        <x:v>Conçu — non implémenté</x:v>
      </x:c>
      <x:c r="F114" s="16" t="n">
        <x:v>3</x:v>
      </x:c>
      <x:c r="G114" s="12" t="str">
        <x:v>Corps et reflet</x:v>
      </x:c>
      <x:c r="H114" s="12" t="str">
        <x:v>Le talkie est tenu de la main prévue et la main libre est cohérente.</x:v>
      </x:c>
      <x:c r="I114" s="12" t="str">
        <x:v>Le talkie est dans la main opposée sans mouvement de transfert.</x:v>
      </x:c>
      <x:c r="J114" s="12" t="str">
        <x:v>Le collègue conserve la prise normale.</x:v>
      </x:c>
      <x:c r="K114" s="12" t="str">
        <x:v>Demander de lever puis baisser la main et comparer côté du badge et du talkie.</x:v>
      </x:c>
      <x:c r="L114" s="12" t="str">
        <x:v>Geste volontaire futur.</x:v>
      </x:c>
      <x:c r="M114" s="12" t="str">
        <x:v>Une inversion persistante entre le corps attendu et sa perception confirme.</x:v>
      </x:c>
      <x:c r="N114" s="12" t="str">
        <x:v>Documenter la main dominante choisie au salon afin qu’un gaucher normal ne devienne pas un faux positif.</x:v>
      </x:c>
      <x:c r="O114" s="12" t="str">
        <x:v>Rigs de mains, prise talkie gauche/droite et animation.</x:v>
      </x:c>
      <x:c r="P114" s="12" t="str">
        <x:v>avatar_hands_swap</x:v>
      </x:c>
      <x:c r="Q114" s="16" t="n">
        <x:v>2</x:v>
      </x:c>
      <x:c r="R114" s="12" t="str">
        <x:v>Spécification originale ; effet absent du catalogue runtime v0.2.1.</x:v>
      </x:c>
      <x:c r="S114" s="18" t="str">
        <x:v>—</x:v>
      </x:c>
      <x:c r="T114" s="18" t="str">
        <x:v>—</x:v>
      </x:c>
      <x:c r="U114" s="18" t="str">
        <x:v>—</x:v>
      </x:c>
      <x:c r="V114" s="12" t="str">
        <x:v>Corps / reflet / mouvement</x:v>
      </x:c>
    </x:row>
    <x:row r="115" ht="51" customHeight="1">
      <x:c r="A115" s="11" t="str">
        <x:v>PX-110</x:v>
      </x:c>
      <x:c r="B115" s="11" t="str">
        <x:v>Le regard sous la visière</x:v>
      </x:c>
      <x:c r="C115" s="11" t="str">
        <x:v>Personnage</x:v>
      </x:c>
      <x:c r="D115" s="11" t="str">
        <x:v>Prévu</x:v>
      </x:c>
      <x:c r="E115" s="13" t="str">
        <x:v>Conçu — non implémenté</x:v>
      </x:c>
      <x:c r="F115" s="17" t="n">
        <x:v>4</x:v>
      </x:c>
      <x:c r="G115" s="11" t="str">
        <x:v>Visière d’inspecteur</x:v>
      </x:c>
      <x:c r="H115" s="11" t="str">
        <x:v>Le regard et la tête suivent la pose réelle du collègue.</x:v>
      </x:c>
      <x:c r="I115" s="11" t="str">
        <x:v>Les yeux restent tournés vers lui alors que la tête se détourne.</x:v>
      </x:c>
      <x:c r="J115" s="11" t="str">
        <x:v>Le regard suit normalement la tête.</x:v>
      </x:c>
      <x:c r="K115" s="11" t="str">
        <x:v>Un collègue tourne lentement la tête. Les autres décrivent la direction des yeux.</x:v>
      </x:c>
      <x:c r="L115" s="11" t="str">
        <x:v>Rotation volontaire future.</x:v>
      </x:c>
      <x:c r="M115" s="11" t="str">
        <x:v>Un regard autonome dans une seule perception confirme.</x:v>
      </x:c>
      <x:c r="N115" s="11" t="str">
        <x:v>Pas d’accès à la webcam. Ne pas imposer une texture photoréaliste pour rendre l’indice lisible.</x:v>
      </x:c>
      <x:c r="O115" s="11" t="str">
        <x:v>Yeux articulés, visière transparente et suivi local.</x:v>
      </x:c>
      <x:c r="P115" s="11" t="str">
        <x:v>avatar_visor_watch</x:v>
      </x:c>
      <x:c r="Q115" s="17" t="n">
        <x:v>2</x:v>
      </x:c>
      <x:c r="R115" s="11" t="str">
        <x:v>Spécification originale ; effet absent du catalogue runtime v0.2.1.</x:v>
      </x:c>
      <x:c r="S115" s="19" t="str">
        <x:v>—</x:v>
      </x:c>
      <x:c r="T115" s="19" t="str">
        <x:v>—</x:v>
      </x:c>
      <x:c r="U115" s="19" t="str">
        <x:v>—</x:v>
      </x:c>
      <x:c r="V115" s="11" t="str">
        <x:v>Corps / reflet / mouvement</x:v>
      </x:c>
    </x:row>
    <x:row r="116" ht="40" customHeight="1">
      <x:c r="A116" s="12" t="str">
        <x:v>PX-111</x:v>
      </x:c>
      <x:c r="B116" s="12" t="str">
        <x:v>Les pas au-dessus du sol</x:v>
      </x:c>
      <x:c r="C116" s="12" t="str">
        <x:v>Personnage</x:v>
      </x:c>
      <x:c r="D116" s="12" t="str">
        <x:v>Prévu</x:v>
      </x:c>
      <x:c r="E116" s="13" t="str">
        <x:v>Conçu — non implémenté</x:v>
      </x:c>
      <x:c r="F116" s="16" t="n">
        <x:v>3</x:v>
      </x:c>
      <x:c r="G116" s="12" t="str">
        <x:v>Sol près d’un inspecteur</x:v>
      </x:c>
      <x:c r="H116" s="12" t="str">
        <x:v>Les pieds touchent le sol pendant la marche.</x:v>
      </x:c>
      <x:c r="I116" s="12" t="str">
        <x:v>Le collègue marche quelques centimètres au-dessus du revêtement.</x:v>
      </x:c>
      <x:c r="J116" s="12" t="str">
        <x:v>Ses pieds restent au contact du sol.</x:v>
      </x:c>
      <x:c r="K116" s="12" t="str">
        <x:v>Comparer chaussures, ombre et joints du revêtement pendant une marche lente.</x:v>
      </x:c>
      <x:c r="L116" s="12" t="str">
        <x:v>Locomotion future en zone plane.</x:v>
      </x:c>
      <x:c r="M116" s="12" t="str">
        <x:v>La hauteur locale anormale avec pose réseau stable confirme.</x:v>
      </x:c>
      <x:c r="N116" s="12" t="str">
        <x:v>Une compensation réseau ou un dénivelé réel ne doit pas produire le même indice.</x:v>
      </x:c>
      <x:c r="O116" s="12" t="str">
        <x:v>Rig de pieds, décalage visuel local et ombre.</x:v>
      </x:c>
      <x:c r="P116" s="12" t="str">
        <x:v>avatar_no_contact</x:v>
      </x:c>
      <x:c r="Q116" s="16" t="n">
        <x:v>2</x:v>
      </x:c>
      <x:c r="R116" s="12" t="str">
        <x:v>Spécification originale ; effet absent du catalogue runtime v0.2.1.</x:v>
      </x:c>
      <x:c r="S116" s="18" t="str">
        <x:v>—</x:v>
      </x:c>
      <x:c r="T116" s="18" t="str">
        <x:v>—</x:v>
      </x:c>
      <x:c r="U116" s="18" t="str">
        <x:v>—</x:v>
      </x:c>
      <x:c r="V116" s="12" t="str">
        <x:v>Corps / reflet / mouvement</x:v>
      </x:c>
    </x:row>
    <x:row r="117" ht="40" customHeight="1">
      <x:c r="A117" s="11" t="str">
        <x:v>PX-112</x:v>
      </x:c>
      <x:c r="B117" s="11" t="str">
        <x:v>La posture restée assise</x:v>
      </x:c>
      <x:c r="C117" s="11" t="str">
        <x:v>Reflet</x:v>
      </x:c>
      <x:c r="D117" s="11" t="str">
        <x:v>Prévu</x:v>
      </x:c>
      <x:c r="E117" s="13" t="str">
        <x:v>Conçu — non implémenté</x:v>
      </x:c>
      <x:c r="F117" s="17" t="n">
        <x:v>4</x:v>
      </x:c>
      <x:c r="G117" s="11" t="str">
        <x:v>Miroir près d’un siège</x:v>
      </x:c>
      <x:c r="H117" s="11" t="str">
        <x:v>Le corps réfléchi reproduit la posture debout de l’inspecteur.</x:v>
      </x:c>
      <x:c r="I117" s="11" t="str">
        <x:v>Son reflet reste assis sur un siège vide tandis qu’il se tient debout.</x:v>
      </x:c>
      <x:c r="J117" s="11" t="str">
        <x:v>Le reflet reste debout.</x:v>
      </x:c>
      <x:c r="K117" s="11" t="str">
        <x:v>S’éloigner du siège et décrire la posture du reflet.</x:v>
      </x:c>
      <x:c r="L117" s="11" t="str">
        <x:v>Passage futur après interaction avec le fauteuil.</x:v>
      </x:c>
      <x:c r="M117" s="11" t="str">
        <x:v>Une posture autonome clairement différente confirme.</x:v>
      </x:c>
      <x:c r="N117" s="11" t="str">
        <x:v>Conserver le décor normal pour distinguer l’effet d’un reflet entièrement figé ou défaillant.</x:v>
      </x:c>
      <x:c r="O117" s="11" t="str">
        <x:v>Rig assis, siège reflété, masque du corps réfléchi.</x:v>
      </x:c>
      <x:c r="P117" s="11" t="str">
        <x:v>reflection_seated</x:v>
      </x:c>
      <x:c r="Q117" s="17" t="n">
        <x:v>2</x:v>
      </x:c>
      <x:c r="R117" s="11" t="str">
        <x:v>Spécification originale ; effet absent du catalogue runtime v0.2.1.</x:v>
      </x:c>
      <x:c r="S117" s="19" t="str">
        <x:v>—</x:v>
      </x:c>
      <x:c r="T117" s="19" t="str">
        <x:v>—</x:v>
      </x:c>
      <x:c r="U117" s="19" t="str">
        <x:v>—</x:v>
      </x:c>
      <x:c r="V117" s="11" t="str">
        <x:v>Corps / reflet / mouvement</x:v>
      </x:c>
    </x:row>
    <x:row r="118" ht="51" customHeight="1">
      <x:c r="A118" s="12" t="str">
        <x:v>PX-113</x:v>
      </x:c>
      <x:c r="B118" s="12" t="str">
        <x:v>L’identité derrière le verre</x:v>
      </x:c>
      <x:c r="C118" s="12" t="str">
        <x:v>Reflet relationnel</x:v>
      </x:c>
      <x:c r="D118" s="12" t="str">
        <x:v>Prévu</x:v>
      </x:c>
      <x:c r="E118" s="13" t="str">
        <x:v>Conçu — non implémenté</x:v>
      </x:c>
      <x:c r="F118" s="16" t="n">
        <x:v>3</x:v>
      </x:c>
      <x:c r="G118" s="12" t="str">
        <x:v>Miroir</x:v>
      </x:c>
      <x:c r="H118" s="12" t="str">
        <x:v>Le badge et le numéro de modèle sont cohérents entre corps et reflet.</x:v>
      </x:c>
      <x:c r="I118" s="12" t="str">
        <x:v>Le badge réfléchi porte le numéro d’un autre inspecteur.</x:v>
      </x:c>
      <x:c r="J118" s="12" t="str">
        <x:v>Le badge réfléchi correspond au corps.</x:v>
      </x:c>
      <x:c r="K118" s="12" t="str">
        <x:v>Lire d’abord le badge physique, puis le badge dans le miroir depuis le repère prévu.</x:v>
      </x:c>
      <x:c r="L118" s="12" t="str">
        <x:v>Observation rapprochée future.</x:v>
      </x:c>
      <x:c r="M118" s="12" t="str">
        <x:v>Une identité inversée seulement dans le reflet constitue la preuve.</x:v>
      </x:c>
      <x:c r="N118" s="12" t="str">
        <x:v>Le texte ne doit pas être simplement retourné par la réflexion normale. L’interface d’identité reste fiable.</x:v>
      </x:c>
      <x:c r="O118" s="12" t="str">
        <x:v>Texte miroir corrigé pour la lecture, badges et caméra planaire.</x:v>
      </x:c>
      <x:c r="P118" s="12" t="str">
        <x:v>reflection_badge_code</x:v>
      </x:c>
      <x:c r="Q118" s="16" t="n">
        <x:v>2</x:v>
      </x:c>
      <x:c r="R118" s="12" t="str">
        <x:v>Spécification originale ; effet absent du catalogue runtime v0.2.1.</x:v>
      </x:c>
      <x:c r="S118" s="18" t="str">
        <x:v>—</x:v>
      </x:c>
      <x:c r="T118" s="18" t="str">
        <x:v>—</x:v>
      </x:c>
      <x:c r="U118" s="18" t="str">
        <x:v>—</x:v>
      </x:c>
      <x:c r="V118" s="12" t="str">
        <x:v>Corps / reflet / mouvement</x:v>
      </x:c>
    </x:row>
    <x:row r="119" ht="51" customHeight="1">
      <x:c r="A119" s="11" t="str">
        <x:v>PX-114</x:v>
      </x:c>
      <x:c r="B119" s="11" t="str">
        <x:v>La minute annoncée deux fois</x:v>
      </x:c>
      <x:c r="C119" s="11" t="str">
        <x:v>Métro</x:v>
      </x:c>
      <x:c r="D119" s="11" t="str">
        <x:v>Prévu</x:v>
      </x:c>
      <x:c r="E119" s="13" t="str">
        <x:v>Conçu — non implémenté</x:v>
      </x:c>
      <x:c r="F119" s="17" t="n">
        <x:v>2</x:v>
      </x:c>
      <x:c r="G119" s="11" t="str">
        <x:v>Tableau des horaires</x:v>
      </x:c>
      <x:c r="H119" s="11" t="str">
        <x:v>Les destinations suivent un ordre stable et des temps décroissants cohérents.</x:v>
      </x:c>
      <x:c r="I119" s="11" t="str">
        <x:v>Le même départ apparaît deux fois avec des directions opposées.</x:v>
      </x:c>
      <x:c r="J119" s="11" t="str">
        <x:v>Le tableau conserve son ordre normal.</x:v>
      </x:c>
      <x:c r="K119" s="11" t="str">
        <x:v>Lire numéro de rame, direction et minute sur les deux lignes.</x:v>
      </x:c>
      <x:c r="L119" s="11" t="str">
        <x:v>Cycle d’affichage futur.</x:v>
      </x:c>
      <x:c r="M119" s="11" t="str">
        <x:v>Deux lignes incompatibles pour un même identifiant de train confirment.</x:v>
      </x:c>
      <x:c r="N119" s="11" t="str">
        <x:v>La rotation normale des pages doit rester identique entre joueurs pour éviter un faux désaccord temporel.</x:v>
      </x:c>
      <x:c r="O119" s="11" t="str">
        <x:v>Afficheur à plusieurs lignes et états déterministes.</x:v>
      </x:c>
      <x:c r="P119" s="11" t="str">
        <x:v>metro_timetable_loop</x:v>
      </x:c>
      <x:c r="Q119" s="17" t="n">
        <x:v>2</x:v>
      </x:c>
      <x:c r="R119" s="11" t="str">
        <x:v>Spécification originale ; effet absent du catalogue runtime v0.2.1.</x:v>
      </x:c>
      <x:c r="S119" s="19" t="str">
        <x:v>—</x:v>
      </x:c>
      <x:c r="T119" s="19" t="str">
        <x:v>—</x:v>
      </x:c>
      <x:c r="U119" s="19" t="str">
        <x:v>—</x:v>
      </x:c>
      <x:c r="V119" s="11" t="str">
        <x:v>Visuel / objet / espace</x:v>
      </x:c>
    </x:row>
    <x:row r="120" ht="40" customHeight="1">
      <x:c r="A120" s="12" t="str">
        <x:v>PX-115</x:v>
      </x:c>
      <x:c r="B120" s="12" t="str">
        <x:v>La station ajoutée</x:v>
      </x:c>
      <x:c r="C120" s="12" t="str">
        <x:v>Métro relationnel</x:v>
      </x:c>
      <x:c r="D120" s="12" t="str">
        <x:v>Prévu</x:v>
      </x:c>
      <x:c r="E120" s="13" t="str">
        <x:v>Conçu — non implémenté</x:v>
      </x:c>
      <x:c r="F120" s="16" t="n">
        <x:v>2</x:v>
      </x:c>
      <x:c r="G120" s="12" t="str">
        <x:v>Plan de ligne</x:v>
      </x:c>
      <x:c r="H120" s="12" t="str">
        <x:v>Le plan comporte le même ensemble de stations pour tous.</x:v>
      </x:c>
      <x:c r="I120" s="12" t="str">
        <x:v>Une station inconnue s’intercale entre deux arrêts.</x:v>
      </x:c>
      <x:c r="J120" s="12" t="str">
        <x:v>Le trajet reste celui de référence.</x:v>
      </x:c>
      <x:c r="K120" s="12" t="str">
        <x:v>Lire trois stations consécutives autour du même embranchement.</x:v>
      </x:c>
      <x:c r="L120" s="12" t="str">
        <x:v>Inspection du plan futur.</x:v>
      </x:c>
      <x:c r="M120" s="12" t="str">
        <x:v>Une station ajoutée au même emplacement confirme.</x:v>
      </x:c>
      <x:c r="N120" s="12" t="str">
        <x:v>Utiliser noms et formes, pas uniquement des couleurs de ligne.</x:v>
      </x:c>
      <x:c r="O120" s="12" t="str">
        <x:v>Carte originale, typographie lisible et variantes de trajet.</x:v>
      </x:c>
      <x:c r="P120" s="12" t="str">
        <x:v>metro_route_poster</x:v>
      </x:c>
      <x:c r="Q120" s="16" t="n">
        <x:v>2</x:v>
      </x:c>
      <x:c r="R120" s="12" t="str">
        <x:v>Spécification originale ; effet absent du catalogue runtime v0.2.1.</x:v>
      </x:c>
      <x:c r="S120" s="18" t="str">
        <x:v>—</x:v>
      </x:c>
      <x:c r="T120" s="18" t="str">
        <x:v>—</x:v>
      </x:c>
      <x:c r="U120" s="18" t="str">
        <x:v>—</x:v>
      </x:c>
      <x:c r="V120" s="12" t="str">
        <x:v>Visuel / objet / espace</x:v>
      </x:c>
    </x:row>
    <x:row r="121" ht="40" customHeight="1">
      <x:c r="A121" s="11" t="str">
        <x:v>PX-116</x:v>
      </x:c>
      <x:c r="B121" s="11" t="str">
        <x:v>Le quai qui compte seul</x:v>
      </x:c>
      <x:c r="C121" s="11" t="str">
        <x:v>Métro</x:v>
      </x:c>
      <x:c r="D121" s="11" t="str">
        <x:v>Prévu</x:v>
      </x:c>
      <x:c r="E121" s="13" t="str">
        <x:v>Conçu — non implémenté</x:v>
      </x:c>
      <x:c r="F121" s="17" t="n">
        <x:v>3</x:v>
      </x:c>
      <x:c r="G121" s="11" t="str">
        <x:v>Portique de quai</x:v>
      </x:c>
      <x:c r="H121" s="11" t="str">
        <x:v>Le compteur diégétique reste à sa valeur de référence lorsqu’aucun passage n’a lieu.</x:v>
      </x:c>
      <x:c r="I121" s="11" t="str">
        <x:v>Il augmente lentement alors que personne ne passe.</x:v>
      </x:c>
      <x:c r="J121" s="11" t="str">
        <x:v>Le compteur reste fixe.</x:v>
      </x:c>
      <x:c r="K121" s="11" t="str">
        <x:v>Se tenir tous hors du portique et comparer deux relevés espacés.</x:v>
      </x:c>
      <x:c r="L121" s="11" t="str">
        <x:v>Immobilité commune future.</x:v>
      </x:c>
      <x:c r="M121" s="11" t="str">
        <x:v>Une augmentation sans passage réel confirme.</x:v>
      </x:c>
      <x:c r="N121" s="11" t="str">
        <x:v>Le vrai nombre de joueurs connectés reste visible et ne change pas.</x:v>
      </x:c>
      <x:c r="O121" s="11" t="str">
        <x:v>Compteur animé et zone de contrôle stable.</x:v>
      </x:c>
      <x:c r="P121" s="11" t="str">
        <x:v>metro_platform_count</x:v>
      </x:c>
      <x:c r="Q121" s="17" t="n">
        <x:v>2</x:v>
      </x:c>
      <x:c r="R121" s="11" t="str">
        <x:v>Spécification originale ; effet absent du catalogue runtime v0.2.1.</x:v>
      </x:c>
      <x:c r="S121" s="19" t="str">
        <x:v>—</x:v>
      </x:c>
      <x:c r="T121" s="19" t="str">
        <x:v>—</x:v>
      </x:c>
      <x:c r="U121" s="19" t="str">
        <x:v>—</x:v>
      </x:c>
      <x:c r="V121" s="11" t="str">
        <x:v>Visuel / objet / espace</x:v>
      </x:c>
    </x:row>
    <x:row r="122" ht="40" customHeight="1">
      <x:c r="A122" s="12" t="str">
        <x:v>PX-117</x:v>
      </x:c>
      <x:c r="B122" s="12" t="str">
        <x:v>Le matin sous terre</x:v>
      </x:c>
      <x:c r="C122" s="12" t="str">
        <x:v>Métro</x:v>
      </x:c>
      <x:c r="D122" s="12" t="str">
        <x:v>Prévu</x:v>
      </x:c>
      <x:c r="E122" s="13" t="str">
        <x:v>Conçu — non implémenté</x:v>
      </x:c>
      <x:c r="F122" s="16" t="n">
        <x:v>4</x:v>
      </x:c>
      <x:c r="G122" s="12" t="str">
        <x:v>Bouche du tunnel</x:v>
      </x:c>
      <x:c r="H122" s="12" t="str">
        <x:v>Le tunnel est sombre et fermé au loin.</x:v>
      </x:c>
      <x:c r="I122" s="12" t="str">
        <x:v>Une lumière de plein jour et un horizon impossible apparaissent.</x:v>
      </x:c>
      <x:c r="J122" s="12" t="str">
        <x:v>Le tunnel reste obscur.</x:v>
      </x:c>
      <x:c r="K122" s="12" t="str">
        <x:v>Décrire la limite entre cadre du tunnel et ciel apparent.</x:v>
      </x:c>
      <x:c r="L122" s="12" t="str">
        <x:v>Ouverture lumineuse lente future.</x:v>
      </x:c>
      <x:c r="M122" s="12" t="str">
        <x:v>L’extérieur diurne incompatible avec la référence confirme.</x:v>
      </x:c>
      <x:c r="N122" s="12" t="str">
        <x:v>Aucun flash brutal. L’horizon ne devient pas une sortie physique piégeuse.</x:v>
      </x:c>
      <x:c r="O122" s="12" t="str">
        <x:v>Fond de tunnel original, horizon et éclairage local.</x:v>
      </x:c>
      <x:c r="P122" s="12" t="str">
        <x:v>metro_tunnel_daylight</x:v>
      </x:c>
      <x:c r="Q122" s="16" t="n">
        <x:v>2</x:v>
      </x:c>
      <x:c r="R122" s="12" t="str">
        <x:v>Spécification originale ; effet absent du catalogue runtime v0.2.1.</x:v>
      </x:c>
      <x:c r="S122" s="18" t="str">
        <x:v>—</x:v>
      </x:c>
      <x:c r="T122" s="18" t="str">
        <x:v>—</x:v>
      </x:c>
      <x:c r="U122" s="18" t="str">
        <x:v>—</x:v>
      </x:c>
      <x:c r="V122" s="12" t="str">
        <x:v>Visuel / objet / espace</x:v>
      </x:c>
    </x:row>
    <x:row r="123" ht="40" customHeight="1">
      <x:c r="A123" s="11" t="str">
        <x:v>PX-118</x:v>
      </x:c>
      <x:c r="B123" s="11" t="str">
        <x:v>Le nom sur deux lits</x:v>
      </x:c>
      <x:c r="C123" s="11" t="str">
        <x:v>Clinique relationnelle</x:v>
      </x:c>
      <x:c r="D123" s="11" t="str">
        <x:v>Prévu</x:v>
      </x:c>
      <x:c r="E123" s="13" t="str">
        <x:v>Conçu — non implémenté</x:v>
      </x:c>
      <x:c r="F123" s="17" t="n">
        <x:v>3</x:v>
      </x:c>
      <x:c r="G123" s="11" t="str">
        <x:v>Têtes de lit</x:v>
      </x:c>
      <x:c r="H123" s="11" t="str">
        <x:v>Chaque lit vide possède un identifiant distinct.</x:v>
      </x:c>
      <x:c r="I123" s="11" t="str">
        <x:v>Deux lits portent le même identifiant.</x:v>
      </x:c>
      <x:c r="J123" s="11" t="str">
        <x:v>Les identifiants restent distincts.</x:v>
      </x:c>
      <x:c r="K123" s="11" t="str">
        <x:v>Lire les plaques depuis l’entrée et les associer au côté de la pièce.</x:v>
      </x:c>
      <x:c r="L123" s="11" t="str">
        <x:v>Zone clinique étendue future.</x:v>
      </x:c>
      <x:c r="M123" s="11" t="str">
        <x:v>La duplication d’un identifiant prévu unique confirme.</x:v>
      </x:c>
      <x:c r="N123" s="11" t="str">
        <x:v>Aucun nom de patient réel. La comparaison ne demande aucune donnée de santé.</x:v>
      </x:c>
      <x:c r="O123" s="11" t="str">
        <x:v>Lits supplémentaires et plaques d’identification fictionnelles.</x:v>
      </x:c>
      <x:c r="P123" s="11" t="str">
        <x:v>clinic_tag_echo</x:v>
      </x:c>
      <x:c r="Q123" s="17" t="n">
        <x:v>2</x:v>
      </x:c>
      <x:c r="R123" s="11" t="str">
        <x:v>Spécification originale ; effet absent du catalogue runtime v0.2.1.</x:v>
      </x:c>
      <x:c r="S123" s="19" t="str">
        <x:v>—</x:v>
      </x:c>
      <x:c r="T123" s="19" t="str">
        <x:v>—</x:v>
      </x:c>
      <x:c r="U123" s="19" t="str">
        <x:v>—</x:v>
      </x:c>
      <x:c r="V123" s="11" t="str">
        <x:v>Visuel / objet / espace</x:v>
      </x:c>
    </x:row>
    <x:row r="124" ht="40" customHeight="1">
      <x:c r="A124" s="12" t="str">
        <x:v>PX-119</x:v>
      </x:c>
      <x:c r="B124" s="12" t="str">
        <x:v>L’occupant de l’ombre</x:v>
      </x:c>
      <x:c r="C124" s="12" t="str">
        <x:v>Clinique</x:v>
      </x:c>
      <x:c r="D124" s="12" t="str">
        <x:v>Prévu</x:v>
      </x:c>
      <x:c r="E124" s="13" t="str">
        <x:v>Conçu — non implémenté</x:v>
      </x:c>
      <x:c r="F124" s="16" t="n">
        <x:v>4</x:v>
      </x:c>
      <x:c r="G124" s="12" t="str">
        <x:v>Mur derrière le lit</x:v>
      </x:c>
      <x:c r="H124" s="12" t="str">
        <x:v>L’ombre du lit vide ne comporte aucune silhouette humaine.</x:v>
      </x:c>
      <x:c r="I124" s="12" t="str">
        <x:v>Une personne assise apparaît uniquement dans l’ombre du lit.</x:v>
      </x:c>
      <x:c r="J124" s="12" t="str">
        <x:v>L’ombre reste celle du mobilier vide.</x:v>
      </x:c>
      <x:c r="K124" s="12" t="str">
        <x:v>Comparer surface du lit, silhouette sur le mur et position de la lampe.</x:v>
      </x:c>
      <x:c r="L124" s="12" t="str">
        <x:v>Observation future depuis un repère fixe.</x:v>
      </x:c>
      <x:c r="M124" s="12" t="str">
        <x:v>Un occupant absent du lit mais visible dans son ombre confirme.</x:v>
      </x:c>
      <x:c r="N124" s="12" t="str">
        <x:v>Ne pas assimiler une ombre de joueur réel passant derrière la lampe à une anomalie.</x:v>
      </x:c>
      <x:c r="O124" s="12" t="str">
        <x:v>Projection contrôlée, lit vide et silhouette originale.</x:v>
      </x:c>
      <x:c r="P124" s="12" t="str">
        <x:v>clinic_shadow_bed</x:v>
      </x:c>
      <x:c r="Q124" s="16" t="n">
        <x:v>2</x:v>
      </x:c>
      <x:c r="R124" s="12" t="str">
        <x:v>Spécification originale ; effet absent du catalogue runtime v0.2.1.</x:v>
      </x:c>
      <x:c r="S124" s="18" t="str">
        <x:v>—</x:v>
      </x:c>
      <x:c r="T124" s="18" t="str">
        <x:v>—</x:v>
      </x:c>
      <x:c r="U124" s="18" t="str">
        <x:v>—</x:v>
      </x:c>
      <x:c r="V124" s="12" t="str">
        <x:v>Visuel / objet / espace</x:v>
      </x:c>
    </x:row>
    <x:row r="125" ht="51" customHeight="1">
      <x:c r="A125" s="11" t="str">
        <x:v>PX-120</x:v>
      </x:c>
      <x:c r="B125" s="11" t="str">
        <x:v>La goutte qui remonte</x:v>
      </x:c>
      <x:c r="C125" s="11" t="str">
        <x:v>Clinique</x:v>
      </x:c>
      <x:c r="D125" s="11" t="str">
        <x:v>Prévu</x:v>
      </x:c>
      <x:c r="E125" s="13" t="str">
        <x:v>Conçu — non implémenté</x:v>
      </x:c>
      <x:c r="F125" s="17" t="n">
        <x:v>3</x:v>
      </x:c>
      <x:c r="G125" s="11" t="str">
        <x:v>Pied de perfusion vide</x:v>
      </x:c>
      <x:c r="H125" s="11" t="str">
        <x:v>Le tube d’exposition présente un écoulement de démonstration régulier vers le bas.</x:v>
      </x:c>
      <x:c r="I125" s="11" t="str">
        <x:v>Les gouttes remontent vers la poche.</x:v>
      </x:c>
      <x:c r="J125" s="11" t="str">
        <x:v>Le mouvement reste descendant.</x:v>
      </x:c>
      <x:c r="K125" s="11" t="str">
        <x:v>Observer ensemble trois gouttes puis décrire leur direction.</x:v>
      </x:c>
      <x:c r="L125" s="11" t="str">
        <x:v>Dispositif de démonstration futur, sans patient.</x:v>
      </x:c>
      <x:c r="M125" s="11" t="str">
        <x:v>Le mouvement inverse local est la preuve.</x:v>
      </x:c>
      <x:c r="N125" s="11" t="str">
        <x:v>Montrer clairement le sens normal au passage de référence. Aucun geste de soin n’est simulé ou demandé.</x:v>
      </x:c>
      <x:c r="O125" s="11" t="str">
        <x:v>Tube translucide, gouttes animées et pied médical.</x:v>
      </x:c>
      <x:c r="P125" s="11" t="str">
        <x:v>clinic_iv_reverse</x:v>
      </x:c>
      <x:c r="Q125" s="17" t="n">
        <x:v>2</x:v>
      </x:c>
      <x:c r="R125" s="11" t="str">
        <x:v>Spécification originale ; effet absent du catalogue runtime v0.2.1.</x:v>
      </x:c>
      <x:c r="S125" s="19" t="str">
        <x:v>—</x:v>
      </x:c>
      <x:c r="T125" s="19" t="str">
        <x:v>—</x:v>
      </x:c>
      <x:c r="U125" s="19" t="str">
        <x:v>—</x:v>
      </x:c>
      <x:c r="V125" s="11" t="str">
        <x:v>Visuel / objet / espace</x:v>
      </x:c>
    </x:row>
  </x:sheetData>
  <x:conditionalFormatting sqref="E6:E125">
    <x:cfRule type="containsText" dxfId="0" priority="1" operator="containsText" text="Bloqué"/>
    <x:cfRule type="containsText" dxfId="1" priority="2" operator="containsText" text="Validé"/>
    <x:cfRule type="containsText" dxfId="2" priority="3" operator="containsText" text="Réussi"/>
  </x:conditionalFormatting>
  <x:dataValidations count="3">
    <x:dataValidation type="list" sqref="E6:E125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  <x:dataValidation type="whole" operator="between" sqref="F6:F125">
      <x:formula1>1</x:formula1>
      <x:formula2>5</x:formula2>
    </x:dataValidation>
    <x:dataValidation type="whole" operator="between" sqref="Q6:Q125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c06891e25be4b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58" hidden="0" customWidth="1"/>
    <x:col min="4" max="4" width="31" hidden="0" customWidth="1"/>
    <x:col min="5" max="5" width="30" hidden="0" customWidth="1"/>
    <x:col min="6" max="6" width="58" hidden="0" customWidth="1"/>
    <x:col min="7" max="7" width="6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Coopération et données de partie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La position est partagée, la perception reste personnelle et le diagnostic exige un accord.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Système</x:v>
      </x:c>
      <x:c r="C5" s="10" t="str">
        <x:v>Fonctionnement</x:v>
      </x:c>
      <x:c r="D5" s="10" t="str">
        <x:v>Données</x:v>
      </x:c>
      <x:c r="E5" s="10" t="str">
        <x:v>Portée</x:v>
      </x:c>
      <x:c r="F5" s="10" t="str">
        <x:v>Critère de réception</x:v>
      </x:c>
      <x:c r="G5" s="10" t="str">
        <x:v>Précaution technique ou de jeu</x:v>
      </x:c>
    </x:row>
    <x:row r="6" ht="40" customHeight="1">
      <x:c r="A6" s="12" t="str">
        <x:v>C01</x:v>
      </x:c>
      <x:c r="B6" s="12" t="str">
        <x:v>Salon partagé</x:v>
      </x:c>
      <x:c r="C6" s="12" t="str">
        <x:v>Création d’une salle avec code de connexion et identité de membre.</x:v>
      </x:c>
      <x:c r="D6" s="12" t="str">
        <x:v>Code de salle</x:v>
      </x:c>
      <x:c r="E6" s="13" t="str">
        <x:v>Présent</x:v>
      </x:c>
      <x:c r="F6" s="12" t="str">
        <x:v>Une réponse serveur confirme la création.</x:v>
      </x:c>
      <x:c r="G6" s="12" t="str">
        <x:v>Refuser nom vide, caractères de contrôle et code invalide.</x:v>
      </x:c>
    </x:row>
    <x:row r="7" ht="40" customHeight="1">
      <x:c r="A7" s="11" t="str">
        <x:v>C02</x:v>
      </x:c>
      <x:c r="B7" s="11" t="str">
        <x:v>Capacité</x:v>
      </x:c>
      <x:c r="C7" s="11" t="str">
        <x:v>Deux à quatre joueurs dans une partie coopérative.</x:v>
      </x:c>
      <x:c r="D7" s="11" t="str">
        <x:v>Liste des membres</x:v>
      </x:c>
      <x:c r="E7" s="13" t="str">
        <x:v>Présent</x:v>
      </x:c>
      <x:c r="F7" s="11" t="str">
        <x:v>Aucun cinquième membre ne peut rejoindre.</x:v>
      </x:c>
      <x:c r="G7" s="11" t="str">
        <x:v>Vérifier les requêtes de connexion simultanées.</x:v>
      </x:c>
    </x:row>
    <x:row r="8" ht="40" customHeight="1">
      <x:c r="A8" s="12" t="str">
        <x:v>C03</x:v>
      </x:c>
      <x:c r="B8" s="12" t="str">
        <x:v>Identité privée</x:v>
      </x:c>
      <x:c r="C8" s="12" t="str">
        <x:v>Jeton de membre aléatoire et autorisation sur chaque action.</x:v>
      </x:c>
      <x:c r="D8" s="12" t="str">
        <x:v>Jeton conservé côté client</x:v>
      </x:c>
      <x:c r="E8" s="13" t="str">
        <x:v>Présent</x:v>
      </x:c>
      <x:c r="F8" s="12" t="str">
        <x:v>Un code de salle seul ne permet pas de voler le rôle d’un autre.</x:v>
      </x:c>
      <x:c r="G8" s="12" t="str">
        <x:v>Ne pas afficher les jetons dans le chat, les logs ou les liens.</x:v>
      </x:c>
    </x:row>
    <x:row r="9" ht="40" customHeight="1">
      <x:c r="A9" s="11" t="str">
        <x:v>C04</x:v>
      </x:c>
      <x:c r="B9" s="11" t="str">
        <x:v>Vérité autoritaire</x:v>
      </x:c>
      <x:c r="C9" s="11" t="str">
        <x:v>Le serveur conserve l’anomalie et calcule la résolution.</x:v>
      </x:c>
      <x:c r="D9" s="11" t="str">
        <x:v>État privé de partie</x:v>
      </x:c>
      <x:c r="E9" s="13" t="str">
        <x:v>Présent</x:v>
      </x:c>
      <x:c r="F9" s="11" t="str">
        <x:v>Impossible de gagner en envoyant un faux score.</x:v>
      </x:c>
      <x:c r="G9" s="11" t="str">
        <x:v>Valider action, phase et membre avant mutation.</x:v>
      </x:c>
    </x:row>
    <x:row r="10" ht="40" customHeight="1">
      <x:c r="A10" s="12" t="str">
        <x:v>C05</x:v>
      </x:c>
      <x:c r="B10" s="12" t="str">
        <x:v>Perceptions séparées</x:v>
      </x:c>
      <x:c r="C10" s="12" t="str">
        <x:v>Chaque réponse ne renvoie que la couche autorisée du demandeur.</x:v>
      </x:c>
      <x:c r="D10" s="12" t="str">
        <x:v>Effets personnels</x:v>
      </x:c>
      <x:c r="E10" s="13" t="str">
        <x:v>Présent</x:v>
      </x:c>
      <x:c r="F10" s="12" t="str">
        <x:v>Les autres perceptions ne sont pas exposées avant le débrief.</x:v>
      </x:c>
      <x:c r="G10" s="12" t="str">
        <x:v>Inspecter les réponses réseau de deux clients réels.</x:v>
      </x:c>
    </x:row>
    <x:row r="11" ht="40" customHeight="1">
      <x:c r="A11" s="11" t="str">
        <x:v>C06</x:v>
      </x:c>
      <x:c r="B11" s="11" t="str">
        <x:v>Positions communes</x:v>
      </x:c>
      <x:c r="C11" s="11" t="str">
        <x:v>Les avatars et repères partagent le même espace.</x:v>
      </x:c>
      <x:c r="D11" s="11" t="str">
        <x:v>Positions et orientation</x:v>
      </x:c>
      <x:c r="E11" s="13" t="str">
        <x:v>Présent</x:v>
      </x:c>
      <x:c r="F11" s="11" t="str">
        <x:v>Le témoin peut nommer une zone précise et y retrouver son partenaire.</x:v>
      </x:c>
      <x:c r="G11" s="11" t="str">
        <x:v>Borner les coordonnées, interpoler l’affichage et tolérer le délai.</x:v>
      </x:c>
    </x:row>
    <x:row r="12" ht="40" customHeight="1">
      <x:c r="A12" s="12" t="str">
        <x:v>C07</x:v>
      </x:c>
      <x:c r="B12" s="12" t="str">
        <x:v>Radio texte</x:v>
      </x:c>
      <x:c r="C12" s="12" t="str">
        <x:v>Partager des observations courtes dans la salle.</x:v>
      </x:c>
      <x:c r="D12" s="12" t="str">
        <x:v>Messages limités</x:v>
      </x:c>
      <x:c r="E12" s="13" t="str">
        <x:v>Présent</x:v>
      </x:c>
      <x:c r="F12" s="12" t="str">
        <x:v>Le message apparaît pour les autres membres.</x:v>
      </x:c>
      <x:c r="G12" s="12" t="str">
        <x:v>Échapper le texte et limiter fréquence, taille et historique.</x:v>
      </x:c>
    </x:row>
    <x:row r="13" ht="40" customHeight="1">
      <x:c r="A13" s="11" t="str">
        <x:v>C08</x:v>
      </x:c>
      <x:c r="B13" s="11" t="str">
        <x:v>Repères</x:v>
      </x:c>
      <x:c r="C13" s="11" t="str">
        <x:v>Pointer un objet ou une zone plutôt que dire « là ».</x:v>
      </x:c>
      <x:c r="D13" s="11" t="str">
        <x:v>Cible et auteur du ping</x:v>
      </x:c>
      <x:c r="E13" s="13" t="str">
        <x:v>Présent</x:v>
      </x:c>
      <x:c r="F13" s="11" t="str">
        <x:v>Le partenaire peut identifier l’objet cité.</x:v>
      </x:c>
      <x:c r="G13" s="11" t="str">
        <x:v>Les repères ne révèlent pas eux-mêmes si l’objet est anormal.</x:v>
      </x:c>
    </x:row>
    <x:row r="14" ht="40" customHeight="1">
      <x:c r="A14" s="12" t="str">
        <x:v>C09</x:v>
      </x:c>
      <x:c r="B14" s="12" t="str">
        <x:v>Accord unanime</x:v>
      </x:c>
      <x:c r="C14" s="12" t="str">
        <x:v>Tous les membres présents votent la même décision.</x:v>
      </x:c>
      <x:c r="D14" s="12" t="str">
        <x:v>Votes des participants</x:v>
      </x:c>
      <x:c r="E14" s="13" t="str">
        <x:v>Présent</x:v>
      </x:c>
      <x:c r="F14" s="12" t="str">
        <x:v>Une divergence garde le tour ouvert.</x:v>
      </x:c>
      <x:c r="G14" s="12" t="str">
        <x:v>La majorité numérique ne prouve jamais qu’un témoin a tort.</x:v>
      </x:c>
    </x:row>
    <x:row r="15" ht="40" customHeight="1">
      <x:c r="A15" s="11" t="str">
        <x:v>C10</x:v>
      </x:c>
      <x:c r="B15" s="11" t="str">
        <x:v>Concurrence</x:v>
      </x:c>
      <x:c r="C15" s="11" t="str">
        <x:v>Versionner les mutations de salle et comparer avant écriture.</x:v>
      </x:c>
      <x:c r="D15" s="11" t="str">
        <x:v>Version de l’état</x:v>
      </x:c>
      <x:c r="E15" s="13" t="str">
        <x:v>Présent</x:v>
      </x:c>
      <x:c r="F15" s="11" t="str">
        <x:v>Deux votes simultanés ne résolvent qu’une fois le tour.</x:v>
      </x:c>
      <x:c r="G15" s="11" t="str">
        <x:v>Rejouer une mutation après conflit seulement si elle reste valide.</x:v>
      </x:c>
    </x:row>
    <x:row r="16" ht="77" customHeight="1">
      <x:c r="A16" s="12" t="str">
        <x:v>C11</x:v>
      </x:c>
      <x:c r="B16" s="12" t="str">
        <x:v>Déconnexion</x:v>
      </x:c>
      <x:c r="C16" s="12" t="str">
        <x:v>Détecter les absents après 45 secondes ; suspendre le quorum et permettre la reprise.</x:v>
      </x:c>
      <x:c r="D16" s="12" t="str">
        <x:v>Présence et jeton du membre</x:v>
      </x:c>
      <x:c r="E16" s="13" t="str">
        <x:v>Implémenté — QA partielle</x:v>
      </x:c>
      <x:c r="F16" s="12" t="str">
        <x:v>Rapport v0.2 conservé : D1 local réel : quatre clients HTTP, neuf consensus concurrents, campagne trois lieux et références propres, signalisation privée et départ réussis. Ni microphones physiques ni trajet TURN réel testés par ce rapport.</x:v>
      </x:c>
      <x:c r="G16" s="12" t="str">
        <x:v>Un départ explicite retire le membre ; le transfert de responsable ne révèle pas les autres perceptions.</x:v>
      </x:c>
    </x:row>
    <x:row r="17" ht="51" customHeight="1">
      <x:c r="A17" s="11" t="str">
        <x:v>C12</x:v>
      </x:c>
      <x:c r="B17" s="11" t="str">
        <x:v>Données personnelles</x:v>
      </x:c>
      <x:c r="C17" s="11" t="str">
        <x:v>Utiliser uniquement le pseudonyme et les flux vocaux volontairement ouverts pour communiquer.</x:v>
      </x:c>
      <x:c r="D17" s="11" t="str">
        <x:v>Micro explicite ; aucune caméra</x:v>
      </x:c>
      <x:c r="E17" s="13" t="str">
        <x:v>Implémenté — QA partielle</x:v>
      </x:c>
      <x:c r="F17" s="11" t="str">
        <x:v>Aucune voix de joueur clonée et aucun enregistrement audio applicatif.</x:v>
      </x:c>
      <x:c r="G17" s="11" t="str">
        <x:v>Les effets transforment la réception en direct et des tonalités originales. Aucune photo personnelle n’alimente les apparitions.</x:v>
      </x:c>
    </x:row>
    <x:row r="18" ht="40" customHeight="1">
      <x:c r="A18" s="12" t="str">
        <x:v>C13</x:v>
      </x:c>
      <x:c r="B18" s="12" t="str">
        <x:v>Voix intégrée</x:v>
      </x:c>
      <x:c r="C18" s="12" t="str">
        <x:v>Connexions WebRTC entre 2 à 4 joueurs, émission volontaire et écoute sans microphone.</x:v>
      </x:c>
      <x:c r="D18" s="12" t="str">
        <x:v>Signalisation autorisée ; flux pairs</x:v>
      </x:c>
      <x:c r="E18" s="13" t="str">
        <x:v>Implémenté — QA partielle</x:v>
      </x:c>
      <x:c r="F18" s="12" t="str">
        <x:v>PTT, témoin d’émission, volume et coupure sont visibles dans le panneau radio.</x:v>
      </x:c>
      <x:c r="G18" s="12" t="str">
        <x:v>Les essais de microphones, casques, iOS/Android et réseaux réels restent nécessaires.</x:v>
      </x:c>
    </x:row>
    <x:row r="19" ht="40" customHeight="1">
      <x:c r="A19" s="11" t="str">
        <x:v>C14</x:v>
      </x:c>
      <x:c r="B19" s="11" t="str">
        <x:v>Voix déformée</x:v>
      </x:c>
      <x:c r="C19" s="11" t="str">
        <x:v>Appliquer une couleur de talkie normale puis, selon la perception, un effet de réception.</x:v>
      </x:c>
      <x:c r="D19" s="11" t="str">
        <x:v>Traitement WebAudio individuel</x:v>
      </x:c>
      <x:c r="E19" s="13" t="str">
        <x:v>Implémenté — QA partielle</x:v>
      </x:c>
      <x:c r="F19" s="11" t="str">
        <x:v>Les six effets radio sont également révélés par l’étalonnage déterministe.</x:v>
      </x:c>
      <x:c r="G19" s="11" t="str">
        <x:v>Le partenaire continue de transmettre sa vraie voix ; aucune phrase personnelle n’est copiée ou rejouée à son insu.</x:v>
      </x:c>
    </x:row>
    <x:row r="20" ht="40" customHeight="1">
      <x:c r="A20" s="12" t="str">
        <x:v>C15</x:v>
      </x:c>
      <x:c r="B20" s="12" t="str">
        <x:v>Photo de preuve</x:v>
      </x:c>
      <x:c r="C20" s="12" t="str">
        <x:v>Permettre un instantané du décor personnel avec repère et horodatage.</x:v>
      </x:c>
      <x:c r="D20" s="12" t="str">
        <x:v>Image du jeu seulement</x:v>
      </x:c>
      <x:c r="E20" s="13" t="str">
        <x:v>Prévu</x:v>
      </x:c>
      <x:c r="F20" s="12" t="str">
        <x:v>Montrer après vote ce que chacun a réellement vu.</x:v>
      </x:c>
      <x:c r="G20" s="12" t="str">
        <x:v>Une photo partagée avant vote modifie la difficulté et doit être un mode choisi.</x:v>
      </x:c>
    </x:row>
    <x:row r="21" ht="40" customHeight="1">
      <x:c r="A21" s="11" t="str">
        <x:v>C16</x:v>
      </x:c>
      <x:c r="B21" s="11" t="str">
        <x:v>Partie privée</x:v>
      </x:c>
      <x:c r="C21" s="11" t="str">
        <x:v>Restreindre l’accès à l’hébergement aux personnes autorisées.</x:v>
      </x:c>
      <x:c r="D21" s="11" t="str">
        <x:v>Audience du site</x:v>
      </x:c>
      <x:c r="E21" s="13" t="str">
        <x:v>À vérifier</x:v>
      </x:c>
      <x:c r="F21" s="11" t="str">
        <x:v>Le lien privé seul ne garantit pas l’accès d’un ami.</x:v>
      </x:c>
      <x:c r="G21" s="11" t="str">
        <x:v>L’accès à l’hébergement et le code de salle sont deux autorisations distinctes.</x:v>
      </x:c>
    </x:row>
    <x:row r="22" ht="40" customHeight="1">
      <x:c r="A22" s="12" t="str">
        <x:v>C17</x:v>
      </x:c>
      <x:c r="B22" s="12" t="str">
        <x:v>Session longue</x:v>
      </x:c>
      <x:c r="C22" s="12" t="str">
        <x:v>Expiration des anciennes salles et historique borné.</x:v>
      </x:c>
      <x:c r="D22" s="12" t="str">
        <x:v>TTL et plafonds</x:v>
      </x:c>
      <x:c r="E22" s="13" t="str">
        <x:v>À vérifier</x:v>
      </x:c>
      <x:c r="F22" s="12" t="str">
        <x:v>Éviter une accumulation infinie des salons abandonnés.</x:v>
      </x:c>
      <x:c r="G22" s="12" t="str">
        <x:v>Valider reprise et nettoyage sans supprimer une partie active.</x:v>
      </x:c>
    </x:row>
    <x:row r="23" ht="40" customHeight="1">
      <x:c r="A23" s="11" t="str">
        <x:v>C18</x:v>
      </x:c>
      <x:c r="B23" s="11" t="str">
        <x:v>Réseau faible</x:v>
      </x:c>
      <x:c r="C23" s="11" t="str">
        <x:v>Afficher clairement absence de réponse et état de connexion.</x:v>
      </x:c>
      <x:c r="D23" s="11" t="str">
        <x:v>Délai et erreurs de requête</x:v>
      </x:c>
      <x:c r="E23" s="13" t="str">
        <x:v>À vérifier</x:v>
      </x:c>
      <x:c r="F23" s="11" t="str">
        <x:v>Le joueur distingue une panne réseau d’une anomalie du décor.</x:v>
      </x:c>
      <x:c r="G23" s="11" t="str">
        <x:v>Ne jamais compter un vote local comme confirmé avant réponse du serveur.</x:v>
      </x:c>
    </x:row>
    <x:row r="24" ht="40" customHeight="1">
      <x:c r="A24" s="12" t="str">
        <x:v>C19</x:v>
      </x:c>
      <x:c r="B24" s="12" t="str">
        <x:v>Signalisation</x:v>
      </x:c>
      <x:c r="C24" s="12" t="str">
        <x:v>Acheminer offre, réponse et candidats ICE uniquement aux membres visés.</x:v>
      </x:c>
      <x:c r="D24" s="12" t="str">
        <x:v>SDP / ICE bornés</x:v>
      </x:c>
      <x:c r="E24" s="13" t="str">
        <x:v>Implémenté — QA partielle</x:v>
      </x:c>
      <x:c r="F24" s="12" t="str">
        <x:v>Aucun membre extérieur à la salle ne lit une offre d’un autre salon.</x:v>
      </x:c>
      <x:c r="G24" s="12" t="str">
        <x:v>Le serveur de jeu n’est pas un serveur d’enregistrement audio.</x:v>
      </x:c>
    </x:row>
    <x:row r="25" ht="51" customHeight="1">
      <x:c r="A25" s="11" t="str">
        <x:v>C20</x:v>
      </x:c>
      <x:c r="B25" s="11" t="str">
        <x:v>Transport vocal</x:v>
      </x:c>
      <x:c r="C25" s="11" t="str">
        <x:v>Relier chaque paire de joueurs ; quatre joueurs impliquent six liaisons entre pairs.</x:v>
      </x:c>
      <x:c r="D25" s="11" t="str">
        <x:v>WebRTC audio</x:v>
      </x:c>
      <x:c r="E25" s="13" t="str">
        <x:v>Implémenté — QA partielle</x:v>
      </x:c>
      <x:c r="F25" s="11" t="str">
        <x:v>Connexion, écoute, émission et déconnexion ont un état explicite.</x:v>
      </x:c>
      <x:c r="G25" s="11" t="str">
        <x:v>Deux onglets ont négocié offre/réponse sans candidats ICE. La réception audio effective reste non validée dans cet environnement.</x:v>
      </x:c>
    </x:row>
    <x:row r="26" ht="40" customHeight="1">
      <x:c r="A26" s="12" t="str">
        <x:v>C21</x:v>
      </x:c>
      <x:c r="B26" s="12" t="str">
        <x:v>HTTPS</x:v>
      </x:c>
      <x:c r="C26" s="12" t="str">
        <x:v>Servir la voix depuis un contexte sécurisé ; localhost reste utilisable pour les essais.</x:v>
      </x:c>
      <x:c r="D26" s="12" t="str">
        <x:v>Origine du navigateur</x:v>
      </x:c>
      <x:c r="E26" s="13" t="str">
        <x:v>Implémenté — QA partielle</x:v>
      </x:c>
      <x:c r="F26" s="12" t="str">
        <x:v>Une IP locale en HTTP affiche une explication et conserve texte / étalonnage.</x:v>
      </x:c>
      <x:c r="G26" s="12" t="str">
        <x:v>Les certificats et clés LAN sont optionnels et doivent être fournis par l’hébergeur.</x:v>
      </x:c>
    </x:row>
    <x:row r="27" ht="40" customHeight="1">
      <x:c r="A27" s="11" t="str">
        <x:v>C22</x:v>
      </x:c>
      <x:c r="B27" s="11" t="str">
        <x:v>Relais TURN</x:v>
      </x:c>
      <x:c r="C27" s="11" t="str">
        <x:v>Accepter une configuration ICE incluant un relais TURN pour les réseaux restrictifs.</x:v>
      </x:c>
      <x:c r="D27" s="11" t="str">
        <x:v>URL TURN et secret REST serveur ; identifiants temporaires</x:v>
      </x:c>
      <x:c r="E27" s="13" t="str">
        <x:v>Implémenté — QA partielle</x:v>
      </x:c>
      <x:c r="F27" s="11" t="str">
        <x:v>Identifiants calculés côté serveur ; le client ne reçoit pas le secret de signature.</x:v>
      </x:c>
      <x:c r="G27" s="11" t="str">
        <x:v>Configuration et tests automatisés présents ; service TURN réel et trajet relay encore à éprouver.</x:v>
      </x:c>
    </x:row>
    <x:row r="28" ht="40" customHeight="1">
      <x:c r="A28" s="12" t="str">
        <x:v>C23</x:v>
      </x:c>
      <x:c r="B28" s="12" t="str">
        <x:v>Panne ≠ preuve</x:v>
      </x:c>
      <x:c r="C28" s="12" t="str">
        <x:v>Séparer état de transport, permission micro et résultat fictionnel de l’étalonnage.</x:v>
      </x:c>
      <x:c r="D28" s="12" t="str">
        <x:v>Canaux d’état distincts</x:v>
      </x:c>
      <x:c r="E28" s="13" t="str">
        <x:v>Implémenté — QA partielle</x:v>
      </x:c>
      <x:c r="F28" s="12" t="str">
        <x:v>Une panne du pair laisse intacte la vérité du tour.</x:v>
      </x:c>
      <x:c r="G28" s="12" t="str">
        <x:v>Toujours proposer texte et relevé de calibration pour garder la session solvable.</x:v>
      </x:c>
    </x:row>
    <x:row r="29" ht="40" customHeight="1">
      <x:c r="A29" s="11" t="str">
        <x:v>C24</x:v>
      </x:c>
      <x:c r="B29" s="11" t="str">
        <x:v>Transition collective</x:v>
      </x:c>
      <x:c r="C29" s="11" t="str">
        <x:v>Changer de lieu et de référence sur l’état autoritaire.</x:v>
      </x:c>
      <x:c r="D29" s="11" t="str">
        <x:v>Mode / stage / levelId</x:v>
      </x:c>
      <x:c r="E29" s="13" t="str">
        <x:v>Implémenté — QA partielle</x:v>
      </x:c>
      <x:c r="F29" s="11" t="str">
        <x:v>Tous les membres rejoignent le même secteur et reçoivent leur couche personnelle.</x:v>
      </x:c>
      <x:c r="G29" s="11" t="str">
        <x:v>Nettoyer les effets du lieu précédent avant la nouvelle référence.</x:v>
      </x:c>
    </x:row>
    <x:row r="30" ht="40" customHeight="1">
      <x:c r="A30" s="12" t="str">
        <x:v>C25</x:v>
      </x:c>
      <x:c r="B30" s="12" t="str">
        <x:v>Visibilité des corps</x:v>
      </x:c>
      <x:c r="C30" s="12" t="str">
        <x:v>Partager poses et identités ; générer les distorsions de corps seulement dans la vue autorisée.</x:v>
      </x:c>
      <x:c r="D30" s="12" t="str">
        <x:v>Positions / orientation / état PTT</x:v>
      </x:c>
      <x:c r="E30" s="13" t="str">
        <x:v>Implémenté — QA partielle</x:v>
      </x:c>
      <x:c r="F30" s="12" t="str">
        <x:v>Un mannequin ou un double visuel ne crée pas de faux membre dans le salon.</x:v>
      </x:c>
      <x:c r="G30" s="12" t="str">
        <x:v>Le vrai roster et les noms de l’interface demeurent fiables.</x:v>
      </x:c>
    </x:row>
  </x:sheetData>
  <x:conditionalFormatting sqref="E6:E30">
    <x:cfRule type="containsText" dxfId="6" priority="1" operator="containsText" text="Bloqué"/>
    <x:cfRule type="containsText" dxfId="7" priority="2" operator="containsText" text="Validé"/>
    <x:cfRule type="containsText" dxfId="8" priority="3" operator="containsText" text="Réussi"/>
  </x:conditionalFormatting>
  <x:dataValidations count="1">
    <x:dataValidation type="list" sqref="E6:E30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5883761b6a46d2"/>
  </x:tableParts>
</x:worksheet>
</file>

<file path=xl/worksheets/sheet5.xml><?xml version="1.0" encoding="utf-8"?>
<x:worksheet xmlns:x="http://schemas.openxmlformats.org/spreadsheetml/2006/main">
  <x:sheetPr>
    <x:tabColor rgb="FF6A8D9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59" hidden="0" customWidth="1"/>
    <x:col min="4" max="4" width="56" hidden="0" customWidth="1"/>
    <x:col min="5" max="5" width="31" hidden="0" customWidth="1"/>
    <x:col min="6" max="6" width="36" hidden="0" customWidth="1"/>
    <x:col min="7" max="7" width="61" hidden="0" customWidth="1"/>
    <x:col min="8" max="8" width="6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Talkies : voix, preuves et équité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Vraie voix entre joueurs, traitement individuel et calibration accessible. Recette matériel / TURN encore distincte.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Système / preuve</x:v>
      </x:c>
      <x:c r="C5" s="10" t="str">
        <x:v>Comportement attendu</x:v>
      </x:c>
      <x:c r="D5" s="10" t="str">
        <x:v>Référence ou comparaison</x:v>
      </x:c>
      <x:c r="E5" s="10" t="str">
        <x:v>Statut</x:v>
      </x:c>
      <x:c r="F5" s="10" t="str">
        <x:v>Accès / réglage</x:v>
      </x:c>
      <x:c r="G5" s="10" t="str">
        <x:v>Condition de réception</x:v>
      </x:c>
      <x:c r="H5" s="10" t="str">
        <x:v>Limite / garde-fou</x:v>
      </x:c>
    </x:row>
    <x:row r="6" ht="40" customHeight="1">
      <x:c r="A6" s="12" t="str">
        <x:v>R01</x:v>
      </x:c>
      <x:c r="B6" s="12" t="str">
        <x:v>Micro volontaire</x:v>
      </x:c>
      <x:c r="C6" s="12" t="str">
        <x:v>Le bouton Activer le micro ouvre la demande navigateur ; aucun accès au lancement.</x:v>
      </x:c>
      <x:c r="D6" s="12" t="str">
        <x:v>Pas de piste avant accord explicite.</x:v>
      </x:c>
      <x:c r="E6" s="13" t="str">
        <x:v>Implémenté — QA partielle</x:v>
      </x:c>
      <x:c r="F6" s="12" t="str">
        <x:v>Panneau radio</x:v>
      </x:c>
      <x:c r="G6" s="12" t="str">
        <x:v>Refus, appareil absent et révocation affichés sans bloquer le vote.</x:v>
      </x:c>
      <x:c r="H6" s="12" t="str">
        <x:v>La caméra n’est pas demandée ; aucune donnée vocale n’est utilisée pour créer une copie de joueur.</x:v>
      </x:c>
    </x:row>
    <x:row r="7" ht="40" customHeight="1">
      <x:c r="A7" s="11" t="str">
        <x:v>R02</x:v>
      </x:c>
      <x:c r="B7" s="11" t="str">
        <x:v>Écoute seule</x:v>
      </x:c>
      <x:c r="C7" s="11" t="str">
        <x:v>Recevoir la voix des partenaires sans ouvrir son propre microphone.</x:v>
      </x:c>
      <x:c r="D7" s="11" t="str">
        <x:v>L’écoute et l’émission sont deux états distincts.</x:v>
      </x:c>
      <x:c r="E7" s="13" t="str">
        <x:v>Implémenté — QA partielle</x:v>
      </x:c>
      <x:c r="F7" s="11" t="str">
        <x:v>Activer l’écoute</x:v>
      </x:c>
      <x:c r="G7" s="11" t="str">
        <x:v>Un joueur sans micro peut entendre, écrire et voter.</x:v>
      </x:c>
      <x:c r="H7" s="11" t="str">
        <x:v>Les restrictions autoplay peuvent nécessiter ce geste avant la lecture.</x:v>
      </x:c>
    </x:row>
    <x:row r="8" ht="40" customHeight="1">
      <x:c r="A8" s="12" t="str">
        <x:v>R03</x:v>
      </x:c>
      <x:c r="B8" s="12" t="str">
        <x:v>PTT</x:v>
      </x:c>
      <x:c r="C8" s="12" t="str">
        <x:v>Transmettre tant que T, LB ou le bouton tactile est maintenu, avec limite de sécurité de 30 secondes par appui.</x:v>
      </x:c>
      <x:c r="D8" s="12" t="str">
        <x:v>Relâcher = émission coupée.</x:v>
      </x:c>
      <x:c r="E8" s="13" t="str">
        <x:v>Implémenté — QA partielle</x:v>
      </x:c>
      <x:c r="F8" s="12" t="str">
        <x:v>T / LB / talkie tactile</x:v>
      </x:c>
      <x:c r="G8" s="12" t="str">
        <x:v>Les partenaires reçoivent la voix pendant l’émission ; état actif visible.</x:v>
      </x:c>
      <x:c r="H8" s="12" t="str">
        <x:v>Relâcher, perdre le focus, masquer la page, fermer la radio ou ouvrir une modale coupe la transmission.</x:v>
      </x:c>
    </x:row>
    <x:row r="9" ht="51" customHeight="1">
      <x:c r="A9" s="11" t="str">
        <x:v>R04</x:v>
      </x:c>
      <x:c r="B9" s="11" t="str">
        <x:v>Sortie propre</x:v>
      </x:c>
      <x:c r="C9" s="11" t="str">
        <x:v>Arrêter les pistes et connexions en quittant ; invalider aussi toute demande de microphone encore en attente.</x:v>
      </x:c>
      <x:c r="D9" s="11" t="str">
        <x:v>Aucun micro utilisé après sortie.</x:v>
      </x:c>
      <x:c r="E9" s="13" t="str">
        <x:v>Implémenté — QA partielle</x:v>
      </x:c>
      <x:c r="F9" s="11" t="str">
        <x:v>Quitter / déconnecter</x:v>
      </x:c>
      <x:c r="G9" s="11" t="str">
        <x:v>Un flux qui arrive après fermeture est arrêté immédiatement, sans être affecté à la radio.</x:v>
      </x:c>
      <x:c r="H9" s="11" t="str">
        <x:v>La boîte de permission du navigateur peut répondre plus tard ; la protection porte sur le traitement du résultat. Matériel physique non éprouvé.</x:v>
      </x:c>
    </x:row>
    <x:row r="10" ht="51" customHeight="1">
      <x:c r="A10" s="12" t="str">
        <x:v>R05</x:v>
      </x:c>
      <x:c r="B10" s="12" t="str">
        <x:v>Vraie liaison</x:v>
      </x:c>
      <x:c r="C10" s="12" t="str">
        <x:v>Former un réseau WebRTC de pairs pour 2 à 4 joueurs.</x:v>
      </x:c>
      <x:c r="D10" s="12" t="str">
        <x:v>Chaque paire transporte l’audio autorisé.</x:v>
      </x:c>
      <x:c r="E10" s="13" t="str">
        <x:v>Implémenté — QA partielle</x:v>
      </x:c>
      <x:c r="F10" s="12" t="str">
        <x:v>Connexion de salle</x:v>
      </x:c>
      <x:c r="G10" s="12" t="str">
        <x:v>Émission intelligible reçue sur un autre appareil.</x:v>
      </x:c>
      <x:c r="H10" s="12" t="str">
        <x:v>Deux onglets : offre/réponse échangées, mais zéro candidat ICE dans l’environnement de test ; aucun audio connecté. Matériel et réseaux réels à éprouver.</x:v>
      </x:c>
    </x:row>
    <x:row r="11" ht="40" customHeight="1">
      <x:c r="A11" s="11" t="str">
        <x:v>R06</x:v>
      </x:c>
      <x:c r="B11" s="11" t="str">
        <x:v>Signalisation</x:v>
      </x:c>
      <x:c r="C11" s="11" t="str">
        <x:v>Le serveur autorise et distribue offres, réponses et candidats ciblés.</x:v>
      </x:c>
      <x:c r="D11" s="11" t="str">
        <x:v>État technique séparé de la vérité de jeu.</x:v>
      </x:c>
      <x:c r="E11" s="13" t="str">
        <x:v>Implémenté — QA partielle</x:v>
      </x:c>
      <x:c r="F11" s="11" t="str">
        <x:v>Automatique après activation</x:v>
      </x:c>
      <x:c r="G11" s="11" t="str">
        <x:v>Rejeter membre étranger, cible invalide et message trop grand.</x:v>
      </x:c>
      <x:c r="H11" s="11" t="str">
        <x:v>Le serveur de jeu ne stocke pas de fichier vocal.</x:v>
      </x:c>
    </x:row>
    <x:row r="12" ht="40" customHeight="1">
      <x:c r="A12" s="12" t="str">
        <x:v>R07</x:v>
      </x:c>
      <x:c r="B12" s="12" t="str">
        <x:v>Couleur talkie</x:v>
      </x:c>
      <x:c r="C12" s="12" t="str">
        <x:v>Passe-haut 330 Hz, passe-bas 3 300 Hz, compression et saturation légère sur la réception.</x:v>
      </x:c>
      <x:c r="D12" s="12" t="str">
        <x:v>La parole reste reconnaissable ; coloration identique au normal.</x:v>
      </x:c>
      <x:c r="E12" s="13" t="str">
        <x:v>Implémenté — QA partielle</x:v>
      </x:c>
      <x:c r="F12" s="12" t="str">
        <x:v>Traitement de réception</x:v>
      </x:c>
      <x:c r="G12" s="12" t="str">
        <x:v>Comprendre une description courte au volume raisonnable.</x:v>
      </x:c>
      <x:c r="H12" s="12" t="str">
        <x:v>Valeurs implémentées, pas certification de mix : vérifier intelligibilité et confort sur appareils physiques.</x:v>
      </x:c>
    </x:row>
    <x:row r="13" ht="40" customHeight="1">
      <x:c r="A13" s="11" t="str">
        <x:v>R08</x:v>
      </x:c>
      <x:c r="B13" s="11" t="str">
        <x:v>Squelch</x:v>
      </x:c>
      <x:c r="C13" s="11" t="str">
        <x:v>Clic discret et porteuse à ouverture/fermeture d’émission.</x:v>
      </x:c>
      <x:c r="D13" s="11" t="str">
        <x:v>Un début et une fin cohérents, sans pic agressif.</x:v>
      </x:c>
      <x:c r="E13" s="13" t="str">
        <x:v>Implémenté — QA partielle</x:v>
      </x:c>
      <x:c r="F13" s="11" t="str">
        <x:v>PTT</x:v>
      </x:c>
      <x:c r="G13" s="11" t="str">
        <x:v>Le signal normal ne ressemble pas à radio_aftertone.</x:v>
      </x:c>
      <x:c r="H13" s="11" t="str">
        <x:v>Pas de son nécessaire à un vote si le relevé écrit est utilisé.</x:v>
      </x:c>
    </x:row>
    <x:row r="14" ht="40" customHeight="1">
      <x:c r="A14" s="12" t="str">
        <x:v>R09</x:v>
      </x:c>
      <x:c r="B14" s="12" t="str">
        <x:v>Réception réglable</x:v>
      </x:c>
      <x:c r="C14" s="12" t="str">
        <x:v>Contrôler volume et coupure de la voix entrante.</x:v>
      </x:c>
      <x:c r="D14" s="12" t="str">
        <x:v>Le réglage ne modifie pas la vérité du passage.</x:v>
      </x:c>
      <x:c r="E14" s="13" t="str">
        <x:v>Implémenté — QA partielle</x:v>
      </x:c>
      <x:c r="F14" s="12" t="str">
        <x:v>Panneau radio</x:v>
      </x:c>
      <x:c r="G14" s="12" t="str">
        <x:v>Couper puis rétablir sans recréer une piste micro.</x:v>
      </x:c>
      <x:c r="H14" s="12" t="str">
        <x:v>Le mute n’est jamais une anomalie ; le test écrit demeure disponible.</x:v>
      </x:c>
    </x:row>
    <x:row r="15" ht="40" customHeight="1">
      <x:c r="A15" s="11" t="str">
        <x:v>R10</x:v>
      </x:c>
      <x:c r="B15" s="11" t="str">
        <x:v>Témoin d’émission</x:v>
      </x:c>
      <x:c r="C15" s="11" t="str">
        <x:v>Montrer qui émet et l’état du talkie.</x:v>
      </x:c>
      <x:c r="D15" s="11" t="str">
        <x:v>Le roster réel conserve le même membre.</x:v>
      </x:c>
      <x:c r="E15" s="13" t="str">
        <x:v>Implémenté — QA partielle</x:v>
      </x:c>
      <x:c r="F15" s="11" t="str">
        <x:v>Indicateur et geste du corps</x:v>
      </x:c>
      <x:c r="G15" s="11" t="str">
        <x:v>Le geste de talkie est cohérent avec l’état transmis.</x:v>
      </x:c>
      <x:c r="H15" s="11" t="str">
        <x:v>Une silhouette ou un double ne crée pas de fausse connexion vocale.</x:v>
      </x:c>
    </x:row>
    <x:row r="16" ht="40" customHeight="1">
      <x:c r="A16" s="12" t="str">
        <x:v>R11</x:v>
      </x:c>
      <x:c r="B16" s="12" t="str">
        <x:v>Étalonnage normal</x:v>
      </x:c>
      <x:c r="C16" s="12" t="str">
        <x:v>Produire trois tonalités distinctes puis s’arrêter.</x:v>
      </x:c>
      <x:c r="D16" s="12" t="str">
        <x:v>Relevé : 1 / 2 / 3 ; retour au silence.</x:v>
      </x:c>
      <x:c r="E16" s="13" t="str">
        <x:v>Implémenté — QA partielle</x:v>
      </x:c>
      <x:c r="F16" s="12" t="str">
        <x:v>Bouton Étalonner</x:v>
      </x:c>
      <x:c r="G16" s="12" t="str">
        <x:v>Même référence pour tous, sans microphone ni voix entrante requis.</x:v>
      </x:c>
      <x:c r="H16" s="12" t="str">
        <x:v>Un défaut matériel reste affiché séparément du résultat fictionnel.</x:v>
      </x:c>
    </x:row>
    <x:row r="17" ht="40" customHeight="1">
      <x:c r="A17" s="11" t="str">
        <x:v>R12</x:v>
      </x:c>
      <x:c r="B17" s="11" t="str">
        <x:v>radio_echo</x:v>
      </x:c>
      <x:c r="C17" s="11" t="str">
        <x:v>Répéter les tonalités par un écho additionnel ; affecter aussi la réception.</x:v>
      </x:c>
      <x:c r="D17" s="11" t="str">
        <x:v>A relève répétitions ; B reçoit 1 / 2 / 3 une fois.</x:v>
      </x:c>
      <x:c r="E17" s="13" t="str">
        <x:v>Implémenté — QA partielle</x:v>
      </x:c>
      <x:c r="F17" s="11" t="str">
        <x:v>Étalonnage / voix reçue</x:v>
      </x:c>
      <x:c r="G17" s="11" t="str">
        <x:v>Le relevé décrit la répétition et permet de comparer.</x:v>
      </x:c>
      <x:c r="H17" s="11" t="str">
        <x:v>Un écho acoustique réel n’est pas une preuve : refaire l’étalonnage local.</x:v>
      </x:c>
    </x:row>
    <x:row r="18" ht="40" customHeight="1">
      <x:c r="A18" s="12" t="str">
        <x:v>R13</x:v>
      </x:c>
      <x:c r="B18" s="12" t="str">
        <x:v>radio_chop</x:v>
      </x:c>
      <x:c r="C18" s="12" t="str">
        <x:v>Supprimer la deuxième tonalité du motif ; découper la réception.</x:v>
      </x:c>
      <x:c r="D18" s="12" t="str">
        <x:v>A : 1 / silence / 3 ; B : 1 / 2 / 3.</x:v>
      </x:c>
      <x:c r="E18" s="13" t="str">
        <x:v>Implémenté — QA partielle</x:v>
      </x:c>
      <x:c r="F18" s="12" t="str">
        <x:v>Étalonnage / voix reçue</x:v>
      </x:c>
      <x:c r="G18" s="12" t="str">
        <x:v>La coupure se reproduit à la même place du test.</x:v>
      </x:c>
      <x:c r="H18" s="12" t="str">
        <x:v>La perte aléatoire de paquets réseau ne change pas ce relevé déterministe.</x:v>
      </x:c>
    </x:row>
    <x:row r="19" ht="40" customHeight="1">
      <x:c r="A19" s="11" t="str">
        <x:v>R14</x:v>
      </x:c>
      <x:c r="B19" s="11" t="str">
        <x:v>radio_static</x:v>
      </x:c>
      <x:c r="C19" s="11" t="str">
        <x:v>Ajouter un souffle inhabituel au test et à la réception.</x:v>
      </x:c>
      <x:c r="D19" s="11" t="str">
        <x:v>A relève un bruit superposé ; B conserve le motif propre.</x:v>
      </x:c>
      <x:c r="E19" s="13" t="str">
        <x:v>Implémenté — QA partielle</x:v>
      </x:c>
      <x:c r="F19" s="11" t="str">
        <x:v>Étalonnage / voix reçue</x:v>
      </x:c>
      <x:c r="G19" s="11" t="str">
        <x:v>La texture anormale figure dans la transcription privée.</x:v>
      </x:c>
      <x:c r="H19" s="11" t="str">
        <x:v>Limiter le niveau ; aucune écoute forte nécessaire.</x:v>
      </x:c>
    </x:row>
    <x:row r="20" ht="40" customHeight="1">
      <x:c r="A20" s="12" t="str">
        <x:v>R15</x:v>
      </x:c>
      <x:c r="B20" s="12" t="str">
        <x:v>radio_detune</x:v>
      </x:c>
      <x:c r="C20" s="12" t="str">
        <x:v>Ajouter une modulation métallique au signal.</x:v>
      </x:c>
      <x:c r="D20" s="12" t="str">
        <x:v>A relève timbre modulé ; B entend les tons stables.</x:v>
      </x:c>
      <x:c r="E20" s="13" t="str">
        <x:v>Implémenté — QA partielle</x:v>
      </x:c>
      <x:c r="F20" s="12" t="str">
        <x:v>Étalonnage / voix reçue</x:v>
      </x:c>
      <x:c r="G20" s="12" t="str">
        <x:v>Effet constant et réversible au tour suivant.</x:v>
      </x:c>
      <x:c r="H20" s="12" t="str">
        <x:v>Ce n’est pas une copie de voix ni une identité synthétique attribuée au partenaire.</x:v>
      </x:c>
    </x:row>
    <x:row r="21" ht="40" customHeight="1">
      <x:c r="A21" s="11" t="str">
        <x:v>R16</x:v>
      </x:c>
      <x:c r="B21" s="11" t="str">
        <x:v>radio_wrong_channel</x:v>
      </x:c>
      <x:c r="C21" s="11" t="str">
        <x:v>Remplacer le code du test par 9 / 9 / 0.</x:v>
      </x:c>
      <x:c r="D21" s="11" t="str">
        <x:v>A : 9 / 9 / 0 ; B : 1 / 2 / 3.</x:v>
      </x:c>
      <x:c r="E21" s="13" t="str">
        <x:v>Implémenté — QA partielle</x:v>
      </x:c>
      <x:c r="F21" s="11" t="str">
        <x:v>Étalonnage / réception</x:v>
      </x:c>
      <x:c r="G21" s="11" t="str">
        <x:v>Les deux joueurs peuvent énoncer le code réellement reçu.</x:v>
      </x:c>
      <x:c r="H21" s="11" t="str">
        <x:v>Le numéro de salle et les informations système ne sont pas falsifiés.</x:v>
      </x:c>
    </x:row>
    <x:row r="22" ht="40" customHeight="1">
      <x:c r="A22" s="12" t="str">
        <x:v>R17</x:v>
      </x:c>
      <x:c r="B22" s="12" t="str">
        <x:v>radio_aftertone</x:v>
      </x:c>
      <x:c r="C22" s="12" t="str">
        <x:v>Laisser une porteuse anormale après le dernier son.</x:v>
      </x:c>
      <x:c r="D22" s="12" t="str">
        <x:v>A relève une continuation ; B revient au silence.</x:v>
      </x:c>
      <x:c r="E22" s="13" t="str">
        <x:v>Implémenté — QA partielle</x:v>
      </x:c>
      <x:c r="F22" s="12" t="str">
        <x:v>Étalonnage / réception</x:v>
      </x:c>
      <x:c r="G22" s="12" t="str">
        <x:v>La fin de motif reste un repère temporel clair.</x:v>
      </x:c>
      <x:c r="H22" s="12" t="str">
        <x:v>Pas de boucle infinie ni de son persistant après reset.</x:v>
      </x:c>
    </x:row>
    <x:row r="23" ht="40" customHeight="1">
      <x:c r="A23" s="11" t="str">
        <x:v>R18</x:v>
      </x:c>
      <x:c r="B23" s="11" t="str">
        <x:v>Transcription privée</x:v>
      </x:c>
      <x:c r="C23" s="11" t="str">
        <x:v>Afficher faits, rythme et code du test pour le seul observateur.</x:v>
      </x:c>
      <x:c r="D23" s="11" t="str">
        <x:v>Décrire ce qui arrive, sans écrire le bon vote.</x:v>
      </x:c>
      <x:c r="E23" s="13" t="str">
        <x:v>Implémenté — QA partielle</x:v>
      </x:c>
      <x:c r="F23" s="11" t="str">
        <x:v>Relevé visible</x:v>
      </x:c>
      <x:c r="G23" s="11" t="str">
        <x:v>La session est soluble avec son à zéro et micro refusé.</x:v>
      </x:c>
      <x:c r="H23" s="11" t="str">
        <x:v>Les autres relevés ne sont pas envoyés automatiquement avant résolution.</x:v>
      </x:c>
    </x:row>
    <x:row r="24" ht="40" customHeight="1">
      <x:c r="A24" s="12" t="str">
        <x:v>R19</x:v>
      </x:c>
      <x:c r="B24" s="12" t="str">
        <x:v>Erreurs distinctes</x:v>
      </x:c>
      <x:c r="C24" s="12" t="str">
        <x:v>Afficher permission refusée, liaison échouée ou contexte non sécurisé comme états techniques.</x:v>
      </x:c>
      <x:c r="D24" s="12" t="str">
        <x:v>Une panne ne constitue jamais une anomalie.</x:v>
      </x:c>
      <x:c r="E24" s="13" t="str">
        <x:v>Implémenté — QA partielle</x:v>
      </x:c>
      <x:c r="F24" s="12" t="str">
        <x:v>Panneau radio</x:v>
      </x:c>
      <x:c r="G24" s="12" t="str">
        <x:v>La vérité du tour et le résultat d’étalonnage restent inchangés.</x:v>
      </x:c>
      <x:c r="H24" s="12" t="str">
        <x:v>Toujours conserver texte, ping et vote si la voix ne fonctionne pas.</x:v>
      </x:c>
    </x:row>
    <x:row r="25" ht="40" customHeight="1">
      <x:c r="A25" s="11" t="str">
        <x:v>R20</x:v>
      </x:c>
      <x:c r="B25" s="11" t="str">
        <x:v>HTTPS</x:v>
      </x:c>
      <x:c r="C25" s="11" t="str">
        <x:v>Autoriser le micro en contexte sécurisé, dont localhost pour les essais.</x:v>
      </x:c>
      <x:c r="D25" s="11" t="str">
        <x:v>IP LAN en HTTP : micro indisponible, jeu et texte possibles.</x:v>
      </x:c>
      <x:c r="E25" s="13" t="str">
        <x:v>Implémenté — QA partielle</x:v>
      </x:c>
      <x:c r="F25" s="11" t="str">
        <x:v>URL de lancement</x:v>
      </x:c>
      <x:c r="G25" s="11" t="str">
        <x:v>Message explicite, aucune demande infinie d’autorisation.</x:v>
      </x:c>
      <x:c r="H25" s="11" t="str">
        <x:v>Les navigateurs et certificats doivent être testés réellement.</x:v>
      </x:c>
    </x:row>
    <x:row r="26" ht="40" customHeight="1">
      <x:c r="A26" s="12" t="str">
        <x:v>R21</x:v>
      </x:c>
      <x:c r="B26" s="12" t="str">
        <x:v>TURN</x:v>
      </x:c>
      <x:c r="C26" s="12" t="str">
        <x:v>Prévoir un serveur de relais configuré pour les réseaux sans chemin direct.</x:v>
      </x:c>
      <x:c r="D26" s="12" t="str">
        <x:v>ICE fourni aux membres authentifiés ; identifiants TURN temporaires d’une heure calculés côté serveur.</x:v>
      </x:c>
      <x:c r="E26" s="13" t="str">
        <x:v>À exécuter</x:v>
      </x:c>
      <x:c r="F26" s="12" t="str">
        <x:v>Déploiement / configuration</x:v>
      </x:c>
      <x:c r="G26" s="12" t="str">
        <x:v>Audio reçu via un candidat relay entre deux réseaux distincts.</x:v>
      </x:c>
      <x:c r="H26" s="12" t="str">
        <x:v>Secret de signature exclusivement serveur. Un service TURN exploité et testé reste nécessaire.</x:v>
      </x:c>
    </x:row>
    <x:row r="27" ht="40" customHeight="1">
      <x:c r="A27" s="11" t="str">
        <x:v>R22</x:v>
      </x:c>
      <x:c r="B27" s="11" t="str">
        <x:v>LAN sécurisé</x:v>
      </x:c>
      <x:c r="C27" s="11" t="str">
        <x:v>Accepter certificat et clé si l’hébergeur veut du HTTPS local.</x:v>
      </x:c>
      <x:c r="D27" s="11" t="str">
        <x:v>Certificat reconnu par les clients.</x:v>
      </x:c>
      <x:c r="E27" s="13" t="str">
        <x:v>Implémenté — QA partielle</x:v>
      </x:c>
      <x:c r="F27" s="11" t="str">
        <x:v>Options cert / key</x:v>
      </x:c>
      <x:c r="G27" s="11" t="str">
        <x:v>Connexion de deux appareils sur Wi-Fi avec contexte sûr.</x:v>
      </x:c>
      <x:c r="H27" s="11" t="str">
        <x:v>Ne jamais versionner une clé privée ni la confondre avec un asset de jeu.</x:v>
      </x:c>
    </x:row>
    <x:row r="28" ht="40" customHeight="1">
      <x:c r="A28" s="12" t="str">
        <x:v>R23</x:v>
      </x:c>
      <x:c r="B28" s="12" t="str">
        <x:v>Pas d’enregistrement</x:v>
      </x:c>
      <x:c r="C28" s="12" t="str">
        <x:v>Transmettre la voix en direct ; ne pas écrire de fichier audio applicatif.</x:v>
      </x:c>
      <x:c r="D28" s="12" t="str">
        <x:v>Pas de stockage ou de clonage de voix des joueurs.</x:v>
      </x:c>
      <x:c r="E28" s="13" t="str">
        <x:v>Implémenté — QA partielle</x:v>
      </x:c>
      <x:c r="F28" s="12" t="str">
        <x:v>Comportement du code</x:v>
      </x:c>
      <x:c r="G28" s="12" t="str">
        <x:v>Inspecter le code et le trafic applicatif prévu.</x:v>
      </x:c>
      <x:c r="H28" s="12" t="str">
        <x:v>Les outils externes du joueur et les politiques de l’hébergeur sont hors de cette mécanique.</x:v>
      </x:c>
    </x:row>
    <x:row r="29" ht="51" customHeight="1">
      <x:c r="A29" s="11" t="str">
        <x:v>R24</x:v>
      </x:c>
      <x:c r="B29" s="11" t="str">
        <x:v>Recette casque</x:v>
      </x:c>
      <x:c r="C29" s="11" t="str">
        <x:v>Tester voix normale et six effets à volume raisonnable.</x:v>
      </x:c>
      <x:c r="D29" s="11" t="str">
        <x:v>Compréhension, absence de saturation dure et repos auditif.</x:v>
      </x:c>
      <x:c r="E29" s="13" t="str">
        <x:v>À tester sur appareils</x:v>
      </x:c>
      <x:c r="F29" s="11" t="str">
        <x:v>Casque / haut-parleurs</x:v>
      </x:c>
      <x:c r="G29" s="11" t="str">
        <x:v>Deux puis quatre microphones physiques, plusieurs navigateurs.</x:v>
      </x:c>
      <x:c r="H29" s="11" t="str">
        <x:v>19 tests radio et la négociation partielle de la v0.2 ne constituent pas un essai de microphones physiques ou d’écoute de flux vocal.</x:v>
      </x:c>
    </x:row>
    <x:row r="30" ht="40" customHeight="1">
      <x:c r="A30" s="12" t="str">
        <x:v>R25</x:v>
      </x:c>
      <x:c r="B30" s="12" t="str">
        <x:v>Canaux séparés</x:v>
      </x:c>
      <x:c r="C30" s="12" t="str">
        <x:v>Envisager plus tard canaux d’équipe et proximité avec règle de comparaison claire.</x:v>
      </x:c>
      <x:c r="D30" s="12" t="str">
        <x:v>État de canal explicite et reproductible.</x:v>
      </x:c>
      <x:c r="E30" s="13" t="str">
        <x:v>Conçu — non implémenté</x:v>
      </x:c>
      <x:c r="F30" s="12" t="str">
        <x:v>Extension de jeu</x:v>
      </x:c>
      <x:c r="G30" s="12" t="str">
        <x:v>Aucune équipe bloquée si les partenaires sont sur deux canaux.</x:v>
      </x:c>
      <x:c r="H30" s="12" t="str">
        <x:v>Ne pas annoncer cette extension comme disponible en v0.2.</x:v>
      </x:c>
    </x:row>
    <x:row r="31" ht="40" customHeight="1">
      <x:c r="A31" s="11" t="str">
        <x:v>R26</x:v>
      </x:c>
      <x:c r="B31" s="11" t="str">
        <x:v>Protocoles parlés</x:v>
      </x:c>
      <x:c r="C31" s="11" t="str">
        <x:v>Suggérer « repère / état / comparaison » : miroir / bras levé / ton corps bouge-t-il ?</x:v>
      </x:c>
      <x:c r="D31" s="11" t="str">
        <x:v>Descriptions courtes suivies d’une vérification.</x:v>
      </x:c>
      <x:c r="E31" s="13" t="str">
        <x:v>Conception définie</x:v>
      </x:c>
      <x:c r="F31" s="11" t="str">
        <x:v>Tutoriel / playtest</x:v>
      </x:c>
      <x:c r="G31" s="11" t="str">
        <x:v>Les joueurs distinguent observation, hypothèse et vote.</x:v>
      </x:c>
      <x:c r="H31" s="11" t="str">
        <x:v>Aucune reconnaissance vocale n’analyse ou note leur façon de parler.</x:v>
      </x:c>
    </x:row>
    <x:row r="32" ht="40" customHeight="1">
      <x:c r="A32" s="12" t="str">
        <x:v>R27</x:v>
      </x:c>
      <x:c r="B32" s="12" t="str">
        <x:v>Relais comparés</x:v>
      </x:c>
      <x:c r="C32" s="12" t="str">
        <x:v>Lire RELAIS, direction et heure SYNCHRO à plusieurs avant de conclure.</x:v>
      </x:c>
      <x:c r="D32" s="12" t="str">
        <x:v>Les valeurs peuvent varier entre tours ; elles doivent correspondre entre joueurs.</x:v>
      </x:c>
      <x:c r="E32" s="13" t="str">
        <x:v>Implémenté — QA partielle</x:v>
      </x:c>
      <x:c r="F32" s="12" t="str">
        <x:v>Voix / texte / repères</x:v>
      </x:c>
      <x:c r="G32" s="12" t="str">
        <x:v>Trois contradictions relationnelles ne peuvent être trouvées avec une seule lecture isolée.</x:v>
      </x:c>
      <x:c r="H32" s="12" t="str">
        <x:v>Le test 1 / 2 / 3 est un autre appareil de preuve ; nommer le repère évite de comparer deux écrans différents.</x:v>
      </x:c>
    </x:row>
    <x:row r="33" ht="40" customHeight="1">
      <x:c r="A33" s="11" t="str">
        <x:v>R28</x:v>
      </x:c>
      <x:c r="B33" s="11" t="str">
        <x:v>Autorisation devenue obsolète</x:v>
      </x:c>
      <x:c r="C33" s="11" t="str">
        <x:v>Éteindre le micro ou fermer la radio invalide la demande applicative encore en attente.</x:v>
      </x:c>
      <x:c r="D33" s="11" t="str">
        <x:v>Si le navigateur fournit ensuite un flux, arrêter toutes ses pistes avant toute installation.</x:v>
      </x:c>
      <x:c r="E33" s="13" t="str">
        <x:v>Implémenté — QA partielle</x:v>
      </x:c>
      <x:c r="F33" s="11" t="str">
        <x:v>Désactiver / quitter pendant la permission</x:v>
      </x:c>
      <x:c r="G33" s="11" t="str">
        <x:v>Aucun flux tardif n’est conservé ni ajouté aux pairs ; les pistes sont effectivement stoppées.</x:v>
      </x:c>
      <x:c r="H33" s="11" t="str">
        <x:v>La boîte système n’est pas prétendue annulée. Tests de promesses différées et de pistes simulées, matériel encore à vérifier.</x:v>
      </x:c>
    </x:row>
    <x:row r="34" ht="40" customHeight="1">
      <x:c r="A34" s="12" t="str">
        <x:v>R29</x:v>
      </x:c>
      <x:c r="B34" s="12" t="str">
        <x:v>Réactivation récente</x:v>
      </x:c>
      <x:c r="C34" s="12" t="str">
        <x:v>Chaque activation possède un identifiant de demande ; seul le résultat de la demande courante peut être retenu.</x:v>
      </x:c>
      <x:c r="D34" s="12" t="str">
        <x:v>Ancien succès ou ancien refus après une nouvelle activation : état récent préservé.</x:v>
      </x:c>
      <x:c r="E34" s="13" t="str">
        <x:v>Implémenté — QA partielle</x:v>
      </x:c>
      <x:c r="F34" s="12" t="str">
        <x:v>Désactiver puis réactiver</x:v>
      </x:c>
      <x:c r="G34" s="12" t="str">
        <x:v>L’ancienne réponse ne remplace pas le nouveau flux et ne réaffiche pas une erreur périmée.</x:v>
      </x:c>
      <x:c r="H34" s="12" t="str">
        <x:v>Distinguer arrêt et simple mute : une piste muette doit aussi être arrêtée si sa demande est obsolète.</x:v>
      </x:c>
    </x:row>
    <x:row r="35" ht="40" customHeight="1">
      <x:c r="A35" s="11" t="str">
        <x:v>R30</x:v>
      </x:c>
      <x:c r="B35" s="11" t="str">
        <x:v>Commande libérée</x:v>
      </x:c>
      <x:c r="C35" s="11" t="str">
        <x:v>L’extinction invalide aussi l’opération en cours dans le contrôleur de l’interface.</x:v>
      </x:c>
      <x:c r="D35" s="11" t="str">
        <x:v>La commande redevient disponible sans attendre la fin de l’ancienne permission.</x:v>
      </x:c>
      <x:c r="E35" s="13" t="str">
        <x:v>Implémenté — QA partielle</x:v>
      </x:c>
      <x:c r="F35" s="11" t="str">
        <x:v>Éteindre puis réactiver la radio</x:v>
      </x:c>
      <x:c r="G35" s="11" t="str">
        <x:v>Un ancien résultat ou finaliseur ne bloque ni ne déverrouille à tort la nouvelle opération.</x:v>
      </x:c>
      <x:c r="H35" s="11" t="str">
        <x:v>Contrôleur testé séparément du client vocal ; ces tests ne sont pas un essai de permission sur microphone physique.</x:v>
      </x:c>
    </x:row>
  </x:sheetData>
  <x:conditionalFormatting sqref="E6:E35">
    <x:cfRule type="containsText" dxfId="9" priority="1" operator="containsText" text="Bloqué"/>
    <x:cfRule type="containsText" dxfId="10" priority="2" operator="containsText" text="Validé"/>
    <x:cfRule type="containsText" dxfId="11" priority="3" operator="containsText" text="Réussi"/>
  </x:conditionalFormatting>
  <x:dataValidations count="1">
    <x:dataValidation type="list" sqref="E6:E35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358a9cbaef4e53"/>
  </x:tableParts>
</x:worksheet>
</file>

<file path=xl/worksheets/sheet6.xml><?xml version="1.0" encoding="utf-8"?>
<x:worksheet xmlns:x="http://schemas.openxmlformats.org/spreadsheetml/2006/main">
  <x:sheetPr>
    <x:tabColor rgb="FF78928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60" hidden="0" customWidth="1"/>
    <x:col min="4" max="4" width="60" hidden="0" customWidth="1"/>
    <x:col min="5" max="5" width="31" hidden="0" customWidth="1"/>
    <x:col min="6" max="6" width="60" hidden="0" customWidth="1"/>
    <x:col min="7" max="7" width="60" hidden="0" customWidth="1"/>
    <x:col min="8" max="8" width="5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Inspecteurs, corps et reflets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Modèles procéduraux originaux et articulés. Production sculptée haute définition distincte.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Système / asset</x:v>
      </x:c>
      <x:c r="C5" s="10" t="str">
        <x:v>Baseline ou traitement</x:v>
      </x:c>
      <x:c r="D5" s="10" t="str">
        <x:v>Variation / usage</x:v>
      </x:c>
      <x:c r="E5" s="10" t="str">
        <x:v>Statut</x:v>
      </x:c>
      <x:c r="F5" s="10" t="str">
        <x:v>Critère de réception</x:v>
      </x:c>
      <x:c r="G5" s="10" t="str">
        <x:v>Pipeline / contraintes</x:v>
      </x:c>
      <x:c r="H5" s="10" t="str">
        <x:v>Validation restante</x:v>
      </x:c>
    </x:row>
    <x:row r="6" ht="40" customHeight="1">
      <x:c r="A6" s="12" t="str">
        <x:v>H01</x:v>
      </x:c>
      <x:c r="B6" s="12" t="str">
        <x:v>Inspecteur local</x:v>
      </x:c>
      <x:c r="C6" s="12" t="str">
        <x:v>Corps proportionné, équipement et membres articulés sous la caméra.</x:v>
      </x:c>
      <x:c r="D6" s="12" t="str">
        <x:v>Le joueur existe dans la scène et les surfaces réfléchies.</x:v>
      </x:c>
      <x:c r="E6" s="13" t="str">
        <x:v>Implémenté — QA partielle</x:v>
      </x:c>
      <x:c r="F6" s="12" t="str">
        <x:v>Corps visible sans masquer les preuves utiles.</x:v>
      </x:c>
      <x:c r="G6" s="12" t="str">
        <x:v>Géométrie originale générée par code ; pas d’asset d’un jeu de référence.</x:v>
      </x:c>
      <x:c r="H6" s="12" t="str">
        <x:v>Rendu, clipping de caméra et morphologie à vérifier sur GPU.</x:v>
      </x:c>
    </x:row>
    <x:row r="7" ht="40" customHeight="1">
      <x:c r="A7" s="11" t="str">
        <x:v>H02</x:v>
      </x:c>
      <x:c r="B7" s="11" t="str">
        <x:v>Coéquipiers</x:v>
      </x:c>
      <x:c r="C7" s="11" t="str">
        <x:v>Corps et orientation placés dans l’espace commun.</x:v>
      </x:c>
      <x:c r="D7" s="11" t="str">
        <x:v>Identité stable associée au vrai membre de salle.</x:v>
      </x:c>
      <x:c r="E7" s="13" t="str">
        <x:v>Implémenté — QA partielle</x:v>
      </x:c>
      <x:c r="F7" s="11" t="str">
        <x:v>Deux clients retrouvent le partenaire près du même repère.</x:v>
      </x:c>
      <x:c r="G7" s="11" t="str">
        <x:v>Interpolation et poses distinctes des couches privées.</x:v>
      </x:c>
      <x:c r="H7" s="11" t="str">
        <x:v>Latence Internet, pieds et transitions sur appareils réels.</x:v>
      </x:c>
    </x:row>
    <x:row r="8" ht="40" customHeight="1">
      <x:c r="A8" s="12" t="str">
        <x:v>H03</x:v>
      </x:c>
      <x:c r="B8" s="12" t="str">
        <x:v>Articulation</x:v>
      </x:c>
      <x:c r="C8" s="12" t="str">
        <x:v>Tête, torse, bras, jambes et équipement suivent une pose de base cohérente.</x:v>
      </x:c>
      <x:c r="D8" s="12" t="str">
        <x:v>Marche et immobilité reconnaissables.</x:v>
      </x:c>
      <x:c r="E8" s="13" t="str">
        <x:v>Implémenté — QA partielle</x:v>
      </x:c>
      <x:c r="F8" s="12" t="str">
        <x:v>Aucune transformée non finie et aucune pièce détachée involontaire.</x:v>
      </x:c>
      <x:c r="G8" s="12" t="str">
        <x:v>Douze nœuds d’articulation avec pièces rigides ; pas de skinning déformable ni de rig facial final.</x:v>
      </x:c>
      <x:c r="H8" s="12" t="str">
        <x:v>Apparence de marche, silhouette et contact au sol à examiner.</x:v>
      </x:c>
    </x:row>
    <x:row r="9" ht="40" customHeight="1">
      <x:c r="A9" s="11" t="str">
        <x:v>H04</x:v>
      </x:c>
      <x:c r="B9" s="11" t="str">
        <x:v>Talkie en main</x:v>
      </x:c>
      <x:c r="C9" s="11" t="str">
        <x:v>Appareil tenu avec un geste associé à l’émission.</x:v>
      </x:c>
      <x:c r="D9" s="11" t="str">
        <x:v>Une commande PTT donne un signal corporel de communication.</x:v>
      </x:c>
      <x:c r="E9" s="13" t="str">
        <x:v>Implémenté — QA partielle</x:v>
      </x:c>
      <x:c r="F9" s="11" t="str">
        <x:v>Main, bras et appareil bougent ensemble.</x:v>
      </x:c>
      <x:c r="G9" s="11" t="str">
        <x:v>Socket stable et pose de repos distincte.</x:v>
      </x:c>
      <x:c r="H9" s="11" t="str">
        <x:v>Réception de l’état PTT et alignement de main sur GPU.</x:v>
      </x:c>
    </x:row>
    <x:row r="10" ht="40" customHeight="1">
      <x:c r="A10" s="12" t="str">
        <x:v>H05</x:v>
      </x:c>
      <x:c r="B10" s="12" t="str">
        <x:v>Reflet normal</x:v>
      </x:c>
      <x:c r="C10" s="12" t="str">
        <x:v>Miroir planaire montrant décor et corps synchrones.</x:v>
      </x:c>
      <x:c r="D10" s="12" t="str">
        <x:v>La référence apprend le nombre de personnes et la relation geste/reflet.</x:v>
      </x:c>
      <x:c r="E10" s="13" t="str">
        <x:v>Implémenté — QA partielle</x:v>
      </x:c>
      <x:c r="F10" s="12" t="str">
        <x:v>Un geste correspond à son reflet, sans retard fictionnel au normal.</x:v>
      </x:c>
      <x:c r="G10" s="12" t="str">
        <x:v>Pass de réflexion temps réel ; aucune affirmation de ray tracing.</x:v>
      </x:c>
      <x:c r="H10" s="12" t="str">
        <x:v>Pixels, angles de caméra, vitres et coût des passes à tester.</x:v>
      </x:c>
    </x:row>
    <x:row r="11" ht="40" customHeight="1">
      <x:c r="A11" s="11" t="str">
        <x:v>H06</x:v>
      </x:c>
      <x:c r="B11" s="11" t="str">
        <x:v>Reflet retardé</x:v>
      </x:c>
      <x:c r="C11" s="11" t="str">
        <x:v>Le corps normal suit immédiatement le joueur.</x:v>
      </x:c>
      <x:c r="D11" s="11" t="str">
        <x:v>reflection_delay : position et orientation reflétées avec environ 1 s de retard.</x:v>
      </x:c>
      <x:c r="E11" s="13" t="str">
        <x:v>Implémenté — QA partielle</x:v>
      </x:c>
      <x:c r="F11" s="11" t="str">
        <x:v>Marcher puis s’arrêter produit un retard stable observable.</x:v>
      </x:c>
      <x:c r="G11" s="11" t="str">
        <x:v>Historique de poses local ; pas de dépendance à la latence Internet.</x:v>
      </x:c>
      <x:c r="H11" s="11" t="str">
        <x:v>Capture vidéo de preuve et retour exact au normal.</x:v>
      </x:c>
    </x:row>
    <x:row r="12" ht="40" customHeight="1">
      <x:c r="A12" s="12" t="str">
        <x:v>H07</x:v>
      </x:c>
      <x:c r="B12" s="12" t="str">
        <x:v>Corps absent</x:v>
      </x:c>
      <x:c r="C12" s="12" t="str">
        <x:v>Le décor et le corps sont présents au normal.</x:v>
      </x:c>
      <x:c r="D12" s="12" t="str">
        <x:v>reflection_absent : seul le corps local disparaît de la réflexion.</x:v>
      </x:c>
      <x:c r="E12" s="13" t="str">
        <x:v>Implémenté — QA partielle</x:v>
      </x:c>
      <x:c r="F12" s="12" t="str">
        <x:v>Le miroir continue de montrer murs et mobilier.</x:v>
      </x:c>
      <x:c r="G12" s="12" t="str">
        <x:v>Masquage de la couche corporelle, pas noir complet de la surface.</x:v>
      </x:c>
      <x:c r="H12" s="12" t="str">
        <x:v>Tester équipier proche et angles rasants.</x:v>
      </x:c>
    </x:row>
    <x:row r="13" ht="40" customHeight="1">
      <x:c r="A13" s="11" t="str">
        <x:v>H08</x:v>
      </x:c>
      <x:c r="B13" s="11" t="str">
        <x:v>Salut autonome</x:v>
      </x:c>
      <x:c r="C13" s="11" t="str">
        <x:v>Bras et tête du reflet reproduisent le corps immobile.</x:v>
      </x:c>
      <x:c r="D13" s="11" t="str">
        <x:v>reflection_independent : salut de la main droite et petit mouvement de tête.</x:v>
      </x:c>
      <x:c r="E13" s="13" t="str">
        <x:v>Implémenté — QA partielle</x:v>
      </x:c>
      <x:c r="F13" s="11" t="str">
        <x:v>Le reflet agit tandis que le corps du joueur ne salue pas.</x:v>
      </x:c>
      <x:c r="G13" s="11" t="str">
        <x:v>Fiche historique PX conservée : Le salut tardif.</x:v>
      </x:c>
      <x:c r="H13" s="11" t="str">
        <x:v>Lisibilité du geste et séparation des deux poses.</x:v>
      </x:c>
    </x:row>
    <x:row r="14" ht="40" customHeight="1">
      <x:c r="A14" s="12" t="str">
        <x:v>H09</x:v>
      </x:c>
      <x:c r="B14" s="12" t="str">
        <x:v>Mannequin</x:v>
      </x:c>
      <x:c r="C14" s="12" t="str">
        <x:v>Inspecteur normal mobile et articulé.</x:v>
      </x:c>
      <x:c r="D14" s="12" t="str">
        <x:v>avatar_mannequin : silhouette rigide et artificielle dans la vue affectée.</x:v>
      </x:c>
      <x:c r="E14" s="13" t="str">
        <x:v>Implémenté — QA partielle</x:v>
      </x:c>
      <x:c r="F14" s="12" t="str">
        <x:v>Partenaire réel encore présent dans le roster et à la même position.</x:v>
      </x:c>
      <x:c r="G14" s="12" t="str">
        <x:v>Variante personnelle de géométrie / matériaux ; pas de changement d’identité serveur.</x:v>
      </x:c>
      <x:c r="H14" s="12" t="str">
        <x:v>Clipping et retour à l’animation normale.</x:v>
      </x:c>
    </x:row>
    <x:row r="15" ht="40" customHeight="1">
      <x:c r="A15" s="11" t="str">
        <x:v>H10</x:v>
      </x:c>
      <x:c r="B15" s="11" t="str">
        <x:v>Double</x:v>
      </x:c>
      <x:c r="C15" s="11" t="str">
        <x:v>Un seul corps par inspecteur réel.</x:v>
      </x:c>
      <x:c r="D15" s="11" t="str">
        <x:v>avatar_double : inspecteur supplémentaire fictionnel.</x:v>
      </x:c>
      <x:c r="E15" s="13" t="str">
        <x:v>Implémenté — QA partielle</x:v>
      </x:c>
      <x:c r="F15" s="11" t="str">
        <x:v>Le nombre de corps visible diffère du groupe attesté.</x:v>
      </x:c>
      <x:c r="G15" s="11" t="str">
        <x:v>Double sans faux membre, vote ni connexion vocale.</x:v>
      </x:c>
      <x:c r="H15" s="11" t="str">
        <x:v>Composition, lumière et absence de collision punitive.</x:v>
      </x:c>
    </x:row>
    <x:row r="16" ht="40" customHeight="1">
      <x:c r="A16" s="12" t="str">
        <x:v>H11</x:v>
      </x:c>
      <x:c r="B16" s="12" t="str">
        <x:v>Ombre autonome</x:v>
      </x:c>
      <x:c r="C16" s="12" t="str">
        <x:v>Ombre reliée au corps et à l’éclairage de référence.</x:v>
      </x:c>
      <x:c r="D16" s="12" t="str">
        <x:v>avatar_shadow : ombre d’inspecteur indépendante.</x:v>
      </x:c>
      <x:c r="E16" s="13" t="str">
        <x:v>Implémenté — QA partielle</x:v>
      </x:c>
      <x:c r="F16" s="12" t="str">
        <x:v>La divergence persiste assez pour être décrite.</x:v>
      </x:c>
      <x:c r="G16" s="12" t="str">
        <x:v>Indice de forme et de mouvement, jamais couleur seule.</x:v>
      </x:c>
      <x:c r="H16" s="12" t="str">
        <x:v>Lisibilité dans les trois profils et les trois lieux.</x:v>
      </x:c>
    </x:row>
    <x:row r="17" ht="40" customHeight="1">
      <x:c r="A17" s="11" t="str">
        <x:v>H12</x:v>
      </x:c>
      <x:c r="B17" s="11" t="str">
        <x:v>Équité corporelle</x:v>
      </x:c>
      <x:c r="C17" s="11" t="str">
        <x:v>Le vrai roster et les états techniques sont fiables.</x:v>
      </x:c>
      <x:c r="D17" s="11" t="str">
        <x:v>Seuls le monde et les effets privés peuvent contredire le corps.</x:v>
      </x:c>
      <x:c r="E17" s="13" t="str">
        <x:v>Conception définie</x:v>
      </x:c>
      <x:c r="F17" s="11" t="str">
        <x:v>Aucune équipe ne vote sur une simple perte réseau d’avatar.</x:v>
      </x:c>
      <x:c r="G17" s="11" t="str">
        <x:v>Preuve stable, référence visible et débrief factuel.</x:v>
      </x:c>
      <x:c r="H17" s="11" t="str">
        <x:v>Playtest pour séparer horreur intentionnelle et bug perçu.</x:v>
      </x:c>
    </x:row>
    <x:row r="18" ht="40" customHeight="1">
      <x:c r="A18" s="12" t="str">
        <x:v>H13</x:v>
      </x:c>
      <x:c r="B18" s="12" t="str">
        <x:v>Sculpt source</x:v>
      </x:c>
      <x:c r="C18" s="12" t="str">
        <x:v>Créer inspecteurs et mains à partir de références autorisées.</x:v>
      </x:c>
      <x:c r="D18" s="12" t="str">
        <x:v>Volumes, vêtements et plis en haute définition.</x:v>
      </x:c>
      <x:c r="E18" s="13" t="str">
        <x:v>Conçu — non implémenté</x:v>
      </x:c>
      <x:c r="F18" s="12" t="str">
        <x:v>Silhouettes lisibles à la distance de conversation.</x:v>
      </x:c>
      <x:c r="G18" s="12" t="str">
        <x:v>Source sculpt distincte de l’export ; proportions verrouillées avant détail.</x:v>
      </x:c>
      <x:c r="H18" s="12" t="str">
        <x:v>Revue artistique et provenance documentées.</x:v>
      </x:c>
    </x:row>
    <x:row r="19" ht="40" customHeight="1">
      <x:c r="A19" s="11" t="str">
        <x:v>H14</x:v>
      </x:c>
      <x:c r="B19" s="11" t="str">
        <x:v>Maillage temps réel</x:v>
      </x:c>
      <x:c r="C19" s="11" t="str">
        <x:v>Retopologie adaptée aux épaules, coudes, genoux et visage.</x:v>
      </x:c>
      <x:c r="D19" s="11" t="str">
        <x:v>LOD protégeant tête, main, badge et contours de preuve.</x:v>
      </x:c>
      <x:c r="E19" s="13" t="str">
        <x:v>Conçu — non implémenté</x:v>
      </x:c>
      <x:c r="F19" s="11" t="str">
        <x:v>Aucune déformation parasite pendant le salut et le PTT.</x:v>
      </x:c>
      <x:c r="G19" s="11" t="str">
        <x:v>Budgets de triangles à fixer après profilage GPU ; pas de nombre arbitraire présenté comme qualité.</x:v>
      </x:c>
      <x:c r="H19" s="11" t="str">
        <x:v>Comparaison visuelle LOD et contrôle de mémoire.</x:v>
      </x:c>
    </x:row>
    <x:row r="20" ht="40" customHeight="1">
      <x:c r="A20" s="12" t="str">
        <x:v>H15</x:v>
      </x:c>
      <x:c r="B20" s="12" t="str">
        <x:v>Textures personnage</x:v>
      </x:c>
      <x:c r="C20" s="12" t="str">
        <x:v>Peau, tissu, métal et visière avec textures PBR originales.</x:v>
      </x:c>
      <x:c r="D20" s="12" t="str">
        <x:v>Sources 4K pour héros proches, réduction selon profil mesuré.</x:v>
      </x:c>
      <x:c r="E20" s="13" t="str">
        <x:v>Conçu — non implémenté</x:v>
      </x:c>
      <x:c r="F20" s="12" t="str">
        <x:v>Rugosité et échelle de détails cohérentes sous les trois lumières.</x:v>
      </x:c>
      <x:c r="G20" s="12" t="str">
        <x:v>Base color, normal, roughness, metalness, AO ; éviter éclairage peint dans l’albédo.</x:v>
      </x:c>
      <x:c r="H20" s="12" t="str">
        <x:v>Compression, mips, saturation et vue miroir.</x:v>
      </x:c>
    </x:row>
    <x:row r="21" ht="40" customHeight="1">
      <x:c r="A21" s="11" t="str">
        <x:v>H16</x:v>
      </x:c>
      <x:c r="B21" s="11" t="str">
        <x:v>Rig final</x:v>
      </x:c>
      <x:c r="C21" s="11" t="str">
        <x:v>Squelette, poids, contraintes et sockets d’équipement.</x:v>
      </x:c>
      <x:c r="D21" s="11" t="str">
        <x:v>Locomotion, idle, regard, talkie et gestes de preuve.</x:v>
      </x:c>
      <x:c r="E21" s="13" t="str">
        <x:v>Conçu — non implémenté</x:v>
      </x:c>
      <x:c r="F21" s="11" t="str">
        <x:v>Mains stables sur appareil ; pieds sans glissement.</x:v>
      </x:c>
      <x:c r="G21" s="11" t="str">
        <x:v>IK et animation faciale seulement si la valeur de jeu justifie le coût.</x:v>
      </x:c>
      <x:c r="H21" s="11" t="str">
        <x:v>Essais sur toutes les variantes et tous les LOD.</x:v>
      </x:c>
    </x:row>
    <x:row r="22" ht="40" customHeight="1">
      <x:c r="A22" s="12" t="str">
        <x:v>H17</x:v>
      </x:c>
      <x:c r="B22" s="12" t="str">
        <x:v>Animation originale</x:v>
      </x:c>
      <x:c r="C22" s="12" t="str">
        <x:v>Clips de marche, arrêt, conversation et gestes inquiétants.</x:v>
      </x:c>
      <x:c r="D22" s="12" t="str">
        <x:v>Rythmes lents lisibles, sans attaque imposée.</x:v>
      </x:c>
      <x:c r="E22" s="13" t="str">
        <x:v>Conçu — non implémenté</x:v>
      </x:c>
      <x:c r="F22" s="12" t="str">
        <x:v>La variante anormale se distingue de l’idle normal.</x:v>
      </x:c>
      <x:c r="G22" s="12" t="str">
        <x:v>Mocap ou animation autorisée, retarget documenté et blend contrôlé.</x:v>
      </x:c>
      <x:c r="H22" s="12" t="str">
        <x:v>Capture vidéo comparative normal / anormal.</x:v>
      </x:c>
    </x:row>
    <x:row r="23" ht="40" customHeight="1">
      <x:c r="A23" s="11" t="str">
        <x:v>H18</x:v>
      </x:c>
      <x:c r="B23" s="11" t="str">
        <x:v>Personnalisation</x:v>
      </x:c>
      <x:c r="C23" s="11" t="str">
        <x:v>Prévoir variations de tenue et badge sans avantage perceptif.</x:v>
      </x:c>
      <x:c r="D23" s="11" t="str">
        <x:v>Cosmétiques collectifs futurs.</x:v>
      </x:c>
      <x:c r="E23" s="13" t="str">
        <x:v>Conçu — non implémenté</x:v>
      </x:c>
      <x:c r="F23" s="11" t="str">
        <x:v>Chaque palette conserve indices, contours et reflet reconnaissables.</x:v>
      </x:c>
      <x:c r="G23" s="11" t="str">
        <x:v>Ne pas vendre de variante qui cache une anomalie ou révèle la vérité.</x:v>
      </x:c>
      <x:c r="H23" s="11" t="str">
        <x:v>Lisibilité et collisions sur toutes les morphologies prévues.</x:v>
      </x:c>
    </x:row>
    <x:row r="24" ht="40" customHeight="1">
      <x:c r="A24" s="12" t="str">
        <x:v>H19</x:v>
      </x:c>
      <x:c r="B24" s="12" t="str">
        <x:v>Source et export</x:v>
      </x:c>
      <x:c r="C24" s="12" t="str">
        <x:v>Source procédurale, contrats de pose et export GLB original fournis avec manifeste.</x:v>
      </x:c>
      <x:c r="D24" s="12" t="str">
        <x:v>GLB et trois clips générés puis relus par GLTFLoader.</x:v>
      </x:c>
      <x:c r="E24" s="13" t="str">
        <x:v>Implémenté — QA partielle</x:v>
      </x:c>
      <x:c r="F24" s="12" t="str">
        <x:v>Un asset est retrouvé depuis la fiche anomalie.</x:v>
      </x:c>
      <x:c r="G24" s="12" t="str">
        <x:v>Nommage, unités, matériaux et licences dans le registre d’assets.</x:v>
      </x:c>
      <x:c r="H24" s="12" t="str">
        <x:v>Rendu GPU et import dans les logiciels de destination restent à vérifier.</x:v>
      </x:c>
    </x:row>
    <x:row r="25" ht="40" customHeight="1">
      <x:c r="A25" s="11" t="str">
        <x:v>H20</x:v>
      </x:c>
      <x:c r="B25" s="11" t="str">
        <x:v>Confort</x:v>
      </x:c>
      <x:c r="C25" s="11" t="str">
        <x:v>Éviter sursaut sonore obligatoire, caméra forcée ou gros plan bloquant.</x:v>
      </x:c>
      <x:c r="D25" s="11" t="str">
        <x:v>L’inquiétude vient du corps qui ne correspond plus.</x:v>
      </x:c>
      <x:c r="E25" s="13" t="str">
        <x:v>Conception définie</x:v>
      </x:c>
      <x:c r="F25" s="11" t="str">
        <x:v>L’utilisateur peut se reculer, comparer et voter.</x:v>
      </x:c>
      <x:c r="G25" s="11" t="str">
        <x:v>Option de peur réduite future sans suppression de la preuve.</x:v>
      </x:c>
      <x:c r="H25" s="11" t="str">
        <x:v>Évaluer avec joueurs sensibles au mouvement et aux corps déformés.</x:v>
      </x:c>
    </x:row>
    <x:row r="26" ht="40" customHeight="1">
      <x:c r="A26" s="12" t="str">
        <x:v>H21</x:v>
      </x:c>
      <x:c r="B26" s="12" t="str">
        <x:v>Inspecteur exportable</x:v>
      </x:c>
      <x:c r="C26" s="12" t="str">
        <x:v>inspecteur-parallaxe.glb : 52 444 triangles, 51 meshes, 12 nœuds articulés ; dimensions 0,6853 × 1,7287 × 0,508 m.</x:v>
      </x:c>
      <x:c r="D26" s="12" t="str">
        <x:v>Trois clips : Marche 0,766 s ; Radio 1,5 s ; Salut 2 s.</x:v>
      </x:c>
      <x:c r="E26" s="13" t="str">
        <x:v>Implémenté — QA partielle</x:v>
      </x:c>
      <x:c r="F26" s="12" t="str">
        <x:v>Export relu par GLTFLoader ; sommets finis et trois clips validés.</x:v>
      </x:c>
      <x:c r="G26" s="12" t="str">
        <x:v>4 826 384 octets. Pièces rigides sans skinning ; PBR de base. Lettrage du badge runtime non embarqué.</x:v>
      </x:c>
      <x:c r="H26" s="12" t="str">
        <x:v>public/models/inspecteur-parallaxe.manifest.json ; rendu GPU et import outil final non validés.</x:v>
      </x:c>
    </x:row>
  </x:sheetData>
  <x:conditionalFormatting sqref="E6:E26">
    <x:cfRule type="containsText" dxfId="12" priority="1" operator="containsText" text="Bloqué"/>
    <x:cfRule type="containsText" dxfId="13" priority="2" operator="containsText" text="Validé"/>
    <x:cfRule type="containsText" dxfId="14" priority="3" operator="containsText" text="Réussi"/>
  </x:conditionalFormatting>
  <x:dataValidations count="1">
    <x:dataValidation type="list" sqref="E6:E26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0cdd15c5124224"/>
  </x:tableParts>
</x:worksheet>
</file>

<file path=xl/worksheets/sheet7.xml><?xml version="1.0" encoding="utf-8"?>
<x:worksheet xmlns:x="http://schemas.openxmlformats.org/spreadsheetml/2006/main">
  <x:sheetPr>
    <x:tabColor rgb="FF75919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4" hidden="0" customWidth="1"/>
    <x:col min="4" max="4" width="49" hidden="0" customWidth="1"/>
    <x:col min="5" max="5" width="66" hidden="0" customWidth="1"/>
    <x:col min="6" max="6" width="61" hidden="0" customWidth="1"/>
    <x:col min="7" max="7" width="20" hidden="0" customWidth="1"/>
    <x:col min="8" max="8" width="31" hidden="0" customWidth="1"/>
    <x:col min="9" max="9" width="62" hidden="0" customWidth="1"/>
    <x:col min="10" max="10" width="6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Campagne : trois lieux, trois preuves chacun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3" customHeight="1">
      <x:c r="A4" s="6" t="str">
        <x:v>Les pools partagent des anomalies communes : leurs tailles ne s’additionnent pas en contenu unique.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40" customHeight="1">
      <x:c r="A5" s="10" t="str">
        <x:v>Ordre</x:v>
      </x:c>
      <x:c r="B5" s="10" t="str">
        <x:v>Lieu officiel</x:v>
      </x:c>
      <x:c r="C5" s="10" t="str">
        <x:v>Sous-titre</x:v>
      </x:c>
      <x:c r="D5" s="10" t="str">
        <x:v>Progression</x:v>
      </x:c>
      <x:c r="E5" s="10" t="str">
        <x:v>Baseline à apprendre</x:v>
      </x:c>
      <x:c r="F5" s="10" t="str">
        <x:v>Objets et preuves propres</x:v>
      </x:c>
      <x:c r="G5" s="10" t="str">
        <x:v>Anomalies en code</x:v>
      </x:c>
      <x:c r="H5" s="10" t="str">
        <x:v>Statut</x:v>
      </x:c>
      <x:c r="I5" s="10" t="str">
        <x:v>Parcours / conception</x:v>
      </x:c>
      <x:c r="J5" s="10" t="str">
        <x:v>Recette restante</x:v>
      </x:c>
    </x:row>
    <x:row r="6" ht="40" customHeight="1">
      <x:c r="A6" s="18" t="n">
        <x:v>1</x:v>
      </x:c>
      <x:c r="B6" s="12" t="str">
        <x:v>Saint-Clair</x:v>
      </x:c>
      <x:c r="C6" s="12" t="str">
        <x:v>L’hôtel sans neuvième étage</x:v>
      </x:c>
      <x:c r="D6" s="12" t="str">
        <x:v>Campagne : 0 → 3. Une erreur remet le secteur à 0.</x:v>
      </x:c>
      <x:c r="E6" s="12" t="str">
        <x:v>Portes 901–904 fermées ; horloge 03:09 ; plantes vertes ; meubles au sol ; fenêtre vide ; tableau complet ; reflets synchrones.</x:v>
      </x:c>
      <x:c r="F6" s="12" t="str">
        <x:v>Objets de l’hôtel, altérations spatiales, bagage, miroir et effets communs.</x:v>
      </x:c>
      <x:c r="G6" s="26" t="n">
        <x:f>COUNTIFS('Anomalies'!$D$6:$D$125,"Présent",'Anomalies'!$S$6:$S$125,"Oui")</x:f>
        <x:v>43</x:v>
      </x:c>
      <x:c r="H6" s="13" t="str">
        <x:v>Implémenté — QA partielle</x:v>
      </x:c>
      <x:c r="I6" s="12" t="str">
        <x:v>Axe d’inspection avec réception, chambres, galerie, service et façade ; conclure après comparaison du relais et du corps.</x:v>
      </x:c>
      <x:c r="J6" s="12" t="str">
        <x:v>GPU, collisions, reflets et performance à tester. Le carnet doit correspondre aux repères exacts.</x:v>
      </x:c>
    </x:row>
    <x:row r="7" ht="51" customHeight="1">
      <x:c r="A7" s="19" t="n">
        <x:v>2</x:v>
      </x:c>
      <x:c r="B7" s="11" t="str">
        <x:v>Terminus 09</x:v>
      </x:c>
      <x:c r="C7" s="11" t="str">
        <x:v>Le dernier quai</x:v>
      </x:c>
      <x:c r="D7" s="11" t="str">
        <x:v>Campagne : palier 3 conservé ; trois réussites pour atteindre 6.</x:v>
      </x:c>
      <x:c r="E7" s="11" t="str">
        <x:v>Quai vide ; QUAI 09 / SERVICE TERMINÉ ; signal vert ; deux rails droits ; corps et reflet synchrones.</x:v>
      </x:c>
      <x:c r="F7" s="11" t="str">
        <x:v>Rame présente, destination impossible, signal altéré, rails orientés et ombre de train.</x:v>
      </x:c>
      <x:c r="G7" s="29" t="n">
        <x:f>COUNTIFS('Anomalies'!$D$6:$D$125,"Présent",'Anomalies'!$T$6:$T$125,"Oui")</x:f>
        <x:v>30</x:v>
      </x:c>
      <x:c r="H7" s="13" t="str">
        <x:v>Implémenté — QA partielle</x:v>
      </x:c>
      <x:c r="I7" s="11" t="str">
        <x:v>Changer réellement d’architecture : espace ouvert de quai, lignes de perspective, écran et surface réfléchissante ; observer depuis la zone sûre.</x:v>
      </x:c>
      <x:c r="J7" s="11" t="str">
        <x:v>Vérifier le panneau sans texte inversé, les voies hors accès et la visibilité des présences.</x:v>
      </x:c>
    </x:row>
    <x:row r="8" ht="40" customHeight="1">
      <x:c r="A8" s="18" t="n">
        <x:v>3</x:v>
      </x:c>
      <x:c r="B8" s="12" t="str">
        <x:v>Aile blanche</x:v>
      </x:c>
      <x:c r="C8" s="12" t="str">
        <x:v>La clinique de nuit</x:v>
      </x:c>
      <x:c r="D8" s="12" t="str">
        <x:v>Campagne : palier 6 conservé ; trois réussites pour atteindre 9 et sortir.</x:v>
      </x:c>
      <x:c r="E8" s="12" t="str">
        <x:v>Un lit vide au sol ; FC 072 / RYTHME SINUSAL ; paravent sans présence ; fauteuil roulant immobile ; reflet normal.</x:v>
      </x:c>
      <x:c r="F8" s="12" t="str">
        <x:v>Lit levé ou supplémentaire, moniteur incohérent, paravent habité ou respirant, fauteuil mobile.</x:v>
      </x:c>
      <x:c r="G8" s="26" t="n">
        <x:f>COUNTIFS('Anomalies'!$D$6:$D$125,"Présent",'Anomalies'!$U$6:$U$125,"Oui")</x:f>
        <x:v>31</x:v>
      </x:c>
      <x:c r="H8" s="13" t="str">
        <x:v>Implémenté — QA partielle</x:v>
      </x:c>
      <x:c r="I8" s="12" t="str">
        <x:v>Aile clinique de nuit : espace calme, objets individuels bien dénombrables, proximité corporelle et luminosité froide.</x:v>
      </x:c>
      <x:c r="J8" s="12" t="str">
        <x:v>Vérifier moniteur, tissu, silhouettes et contact au sol sur GPU ; conserver jeu sans audition.</x:v>
      </x:c>
    </x:row>
  </x:sheetData>
  <x:conditionalFormatting sqref="H6:H8">
    <x:cfRule type="containsText" dxfId="15" priority="1" operator="containsText" text="Bloqué"/>
    <x:cfRule type="containsText" dxfId="16" priority="2" operator="containsText" text="Validé"/>
    <x:cfRule type="containsText" dxfId="17" priority="3" operator="containsText" text="Réussi"/>
  </x:conditionalFormatting>
  <x:dataValidations count="1">
    <x:dataValidation type="list" sqref="H6:H8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7ae2a3476c4be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8" hidden="0" customWidth="1"/>
    <x:col min="4" max="4" width="53" hidden="0" customWidth="1"/>
    <x:col min="5" max="5" width="53" hidden="0" customWidth="1"/>
    <x:col min="6" max="6" width="46" hidden="0" customWidth="1"/>
    <x:col min="7" max="7" width="31" hidden="0" customWidth="1"/>
    <x:col min="8" max="8" width="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Zones, repères et extensions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Trois architectures présentes en v0.2. Chaque extension future garde un statut explicite.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Lieu</x:v>
      </x:c>
      <x:c r="C5" s="10" t="str">
        <x:v>Zone</x:v>
      </x:c>
      <x:c r="D5" s="10" t="str">
        <x:v>Organisation</x:v>
      </x:c>
      <x:c r="E5" s="10" t="str">
        <x:v>Repères à mémoriser</x:v>
      </x:c>
      <x:c r="F5" s="10" t="str">
        <x:v>Anomalies / usage</x:v>
      </x:c>
      <x:c r="G5" s="10" t="str">
        <x:v>Statut</x:v>
      </x:c>
      <x:c r="H5" s="10" t="str">
        <x:v>Consigne de level design</x:v>
      </x:c>
    </x:row>
    <x:row r="6" ht="40" customHeight="1">
      <x:c r="A6" s="12" t="str">
        <x:v>Z01</x:v>
      </x:c>
      <x:c r="B6" s="12" t="str">
        <x:v>Saint-Clair</x:v>
      </x:c>
      <x:c r="C6" s="12" t="str">
        <x:v>Sas d’entrée</x:v>
      </x:c>
      <x:c r="D6" s="12" t="str">
        <x:v>Point de départ commun et orientation vers l’axe du couloir.</x:v>
      </x:c>
      <x:c r="E6" s="12" t="str">
        <x:v>Repère de référence, panneau de règles, seuil lisible.</x:v>
      </x:c>
      <x:c r="F6" s="12" t="str">
        <x:v>L02, L14</x:v>
      </x:c>
      <x:c r="G6" s="13" t="str">
        <x:v>Présent</x:v>
      </x:c>
      <x:c r="H6" s="12" t="str">
        <x:v>Une zone calme donne le temps de mémoriser et régler la vue.</x:v>
      </x:c>
    </x:row>
    <x:row r="7" ht="40" customHeight="1">
      <x:c r="A7" s="11" t="str">
        <x:v>Z02</x:v>
      </x:c>
      <x:c r="B7" s="11" t="str">
        <x:v>Saint-Clair</x:v>
      </x:c>
      <x:c r="C7" s="11" t="str">
        <x:v>Réception</x:v>
      </x:c>
      <x:c r="D7" s="11" t="str">
        <x:v>Petit espace latéral à mobilier distinct.</x:v>
      </x:c>
      <x:c r="E7" s="11" t="str">
        <x:v>Téléphone, surface de bureau, luminaire.</x:v>
      </x:c>
      <x:c r="F7" s="11" t="str">
        <x:v>phone_float</x:v>
      </x:c>
      <x:c r="G7" s="13" t="str">
        <x:v>Présent</x:v>
      </x:c>
      <x:c r="H7" s="11" t="str">
        <x:v>Les accessoires ne doivent pas masquer les plaques de porte.</x:v>
      </x:c>
    </x:row>
    <x:row r="8" ht="40" customHeight="1">
      <x:c r="A8" s="12" t="str">
        <x:v>Z03</x:v>
      </x:c>
      <x:c r="B8" s="12" t="str">
        <x:v>Saint-Clair</x:v>
      </x:c>
      <x:c r="C8" s="12" t="str">
        <x:v>Galerie gauche</x:v>
      </x:c>
      <x:c r="D8" s="12" t="str">
        <x:v>Alignement de panneaux et tableaux à hauteur humaine.</x:v>
      </x:c>
      <x:c r="E8" s="12" t="str">
        <x:v>Tableau, inscription, cadre.</x:v>
      </x:c>
      <x:c r="F8" s="12" t="str">
        <x:v>portrait_eyes, portrait_empty, wall_message</x:v>
      </x:c>
      <x:c r="G8" s="13" t="str">
        <x:v>Présent</x:v>
      </x:c>
      <x:c r="H8" s="12" t="str">
        <x:v>Contraste suffisant pour reconnaître un tableau vide.</x:v>
      </x:c>
    </x:row>
    <x:row r="9" ht="40" customHeight="1">
      <x:c r="A9" s="11" t="str">
        <x:v>Z04</x:v>
      </x:c>
      <x:c r="B9" s="11" t="str">
        <x:v>Saint-Clair</x:v>
      </x:c>
      <x:c r="C9" s="11" t="str">
        <x:v>Chambres</x:v>
      </x:c>
      <x:c r="D9" s="11" t="str">
        <x:v>Quatre portes repérables par numéro et côté.</x:v>
      </x:c>
      <x:c r="E9" s="11" t="str">
        <x:v>901, 902, 903, 904. Poignées et seuils distincts.</x:v>
      </x:c>
      <x:c r="F9" s="11" t="str">
        <x:v>door_number, door_open, blood_handprint</x:v>
      </x:c>
      <x:c r="G9" s="13" t="str">
        <x:v>Présent</x:v>
      </x:c>
      <x:c r="H9" s="11" t="str">
        <x:v>Un numéro est un repère de communication, pas seulement un décor.</x:v>
      </x:c>
    </x:row>
    <x:row r="10" ht="40" customHeight="1">
      <x:c r="A10" s="12" t="str">
        <x:v>Z05</x:v>
      </x:c>
      <x:c r="B10" s="12" t="str">
        <x:v>Saint-Clair</x:v>
      </x:c>
      <x:c r="C10" s="12" t="str">
        <x:v>Coin salon</x:v>
      </x:c>
      <x:c r="D10" s="12" t="str">
        <x:v>Sièges espacés avec vue sous le mobilier.</x:v>
      </x:c>
      <x:c r="E10" s="12" t="str">
        <x:v>Fauteuil et plante.</x:v>
      </x:c>
      <x:c r="F10" s="12" t="str">
        <x:v>chair_float, duplicate_chair, plant_tall</x:v>
      </x:c>
      <x:c r="G10" s="13" t="str">
        <x:v>Présent</x:v>
      </x:c>
      <x:c r="H10" s="12" t="str">
        <x:v>Pouvoir comparer le contact au sol depuis plusieurs angles.</x:v>
      </x:c>
    </x:row>
    <x:row r="11" ht="40" customHeight="1">
      <x:c r="A11" s="11" t="str">
        <x:v>Z06</x:v>
      </x:c>
      <x:c r="B11" s="11" t="str">
        <x:v>Saint-Clair</x:v>
      </x:c>
      <x:c r="C11" s="11" t="str">
        <x:v>Service</x:v>
      </x:c>
      <x:c r="D11" s="11" t="str">
        <x:v>Station de chariot hors trajectoire centrale.</x:v>
      </x:c>
      <x:c r="E11" s="11" t="str">
        <x:v>Chariot et bagage.</x:v>
      </x:c>
      <x:c r="F11" s="11" t="str">
        <x:v>trolley_missing</x:v>
      </x:c>
      <x:c r="G11" s="13" t="str">
        <x:v>Présent</x:v>
      </x:c>
      <x:c r="H11" s="11" t="str">
        <x:v>Conserver une zone de passage pour quatre avatars.</x:v>
      </x:c>
    </x:row>
    <x:row r="12" ht="40" customHeight="1">
      <x:c r="A12" s="12" t="str">
        <x:v>Z07</x:v>
      </x:c>
      <x:c r="B12" s="12" t="str">
        <x:v>Saint-Clair</x:v>
      </x:c>
      <x:c r="C12" s="12" t="str">
        <x:v>Façade vitrée</x:v>
      </x:c>
      <x:c r="D12" s="12" t="str">
        <x:v>Vitre pluvieuse et miroir plan disposant d’un rendu réfléchi.</x:v>
      </x:c>
      <x:c r="E12" s="12" t="str">
        <x:v>Corps local, équipiers, décor réfléchi.</x:v>
      </x:c>
      <x:c r="F12" s="12" t="str">
        <x:v>reflection_delay, reflection_absent, reflection_independent</x:v>
      </x:c>
      <x:c r="G12" s="13" t="str">
        <x:v>Implémenté — QA partielle</x:v>
      </x:c>
      <x:c r="H12" s="12" t="str">
        <x:v>La surface reflète le monde ; l’absence du corps doit conserver le décor. Rendu GPU à vérifier.</x:v>
      </x:c>
    </x:row>
    <x:row r="13" ht="40" customHeight="1">
      <x:c r="A13" s="11" t="str">
        <x:v>Z08</x:v>
      </x:c>
      <x:c r="B13" s="11" t="str">
        <x:v>Saint-Clair</x:v>
      </x:c>
      <x:c r="C13" s="11" t="str">
        <x:v>Terminal de sortie</x:v>
      </x:c>
      <x:c r="D13" s="11" t="str">
        <x:v>Fond lisible depuis le parcours, avec zone de diagnostic.</x:v>
      </x:c>
      <x:c r="E13" s="11" t="str">
        <x:v>Issue, RELAIS à quatre chiffres, panneau SYNCHRO et horloge 03:09.</x:v>
      </x:c>
      <x:c r="F13" s="11" t="str">
        <x:v>relay_mismatch, paired_arrow, paired_clock, shadow_figure, exit_false</x:v>
      </x:c>
      <x:c r="G13" s="13" t="str">
        <x:v>Présent</x:v>
      </x:c>
      <x:c r="H13" s="11" t="str">
        <x:v>La décision commune doit être accessible malgré les effets d’ambiance.</x:v>
      </x:c>
    </x:row>
    <x:row r="14" ht="40" customHeight="1">
      <x:c r="A14" s="12" t="str">
        <x:v>Z09</x:v>
      </x:c>
      <x:c r="B14" s="12" t="str">
        <x:v>Chalet</x:v>
      </x:c>
      <x:c r="C14" s="12" t="str">
        <x:v>Usine de modules</x:v>
      </x:c>
      <x:c r="D14" s="12" t="str">
        <x:v>Chalets successifs transportés dans un hangar d’inspection.</x:v>
      </x:c>
      <x:c r="E14" s="12" t="str">
        <x:v>Foyer, table, étage, fenêtre.</x:v>
      </x:c>
      <x:c r="F14" s="12" t="str">
        <x:v>cabine_table_size, cabine_chimney_face</x:v>
      </x:c>
      <x:c r="G14" s="13" t="str">
        <x:v>Conçu — non implémenté</x:v>
      </x:c>
      <x:c r="H14" s="12" t="str">
        <x:v>Quatrième lieu proposé ; prévoir assets originaux et baseline spécifique.</x:v>
      </x:c>
    </x:row>
    <x:row r="15" ht="40" customHeight="1">
      <x:c r="A15" s="11" t="str">
        <x:v>Z10</x:v>
      </x:c>
      <x:c r="B15" s="11" t="str">
        <x:v>Terminus 09</x:v>
      </x:c>
      <x:c r="C15" s="11" t="str">
        <x:v>Quai hors service</x:v>
      </x:c>
      <x:c r="D15" s="11" t="str">
        <x:v>Quai vide, limites des voies, signal, afficheur et panneau de réseau.</x:v>
      </x:c>
      <x:c r="E15" s="11" t="str">
        <x:v>QUAI 09 / SERVICE TERMINÉ ; rails droits ; signal vert.</x:v>
      </x:c>
      <x:c r="F15" s="11" t="str">
        <x:v>metro_train, metro_destination, metro_signal, metro_tracks</x:v>
      </x:c>
      <x:c r="G15" s="13" t="str">
        <x:v>Implémenté — QA partielle</x:v>
      </x:c>
      <x:c r="H15" s="11" t="str">
        <x:v>Une rame est une anomalie. Une géométrie de métro présente ne valide pas encore le rendu sur matériel.</x:v>
      </x:c>
    </x:row>
    <x:row r="16" ht="40" customHeight="1">
      <x:c r="A16" s="12" t="str">
        <x:v>Z11</x:v>
      </x:c>
      <x:c r="B16" s="12" t="str">
        <x:v>Aile blanche</x:v>
      </x:c>
      <x:c r="C16" s="12" t="str">
        <x:v>Unité de nuit</x:v>
      </x:c>
      <x:c r="D16" s="12" t="str">
        <x:v>Un lit, moniteur, paravent et fauteuil roulant dans une aile vide.</x:v>
      </x:c>
      <x:c r="E16" s="12" t="str">
        <x:v>Lit au sol ; FC 072 / RYTHME SINUSAL ; paravent sans présence.</x:v>
      </x:c>
      <x:c r="F16" s="12" t="str">
        <x:v>clinic_bed, clinic_monitor, clinic_curtain, clinic_wheelchair</x:v>
      </x:c>
      <x:c r="G16" s="13" t="str">
        <x:v>Implémenté — QA partielle</x:v>
      </x:c>
      <x:c r="H16" s="12" t="str">
        <x:v>Ne pas enseigner trois lits comme référence ; le second lit éventuel est une anomalie.</x:v>
      </x:c>
    </x:row>
    <x:row r="17" ht="40" customHeight="1">
      <x:c r="A17" s="11" t="str">
        <x:v>Z12</x:v>
      </x:c>
      <x:c r="B17" s="11" t="str">
        <x:v>Observatoire</x:v>
      </x:c>
      <x:c r="C17" s="11" t="str">
        <x:v>Annexe côtière</x:v>
      </x:c>
      <x:c r="D17" s="11" t="str">
        <x:v>Salle de veille et grande baie sur un paysage nocturne.</x:v>
      </x:c>
      <x:c r="E17" s="11" t="str">
        <x:v>Constellations, météo, planète inattendue.</x:v>
      </x:c>
      <x:c r="F17" s="11" t="str">
        <x:v>paired_stars, observatory_earth</x:v>
      </x:c>
      <x:c r="G17" s="13" t="str">
        <x:v>Conçu — non implémenté</x:v>
      </x:c>
      <x:c r="H17" s="11" t="str">
        <x:v>Prévoir comparaison sur une station de regard commune.</x:v>
      </x:c>
    </x:row>
    <x:row r="18" ht="40" customHeight="1">
      <x:c r="A18" s="12" t="str">
        <x:v>Z13</x:v>
      </x:c>
      <x:c r="B18" s="12" t="str">
        <x:v>Archives</x:v>
      </x:c>
      <x:c r="C18" s="12" t="str">
        <x:v>Dépôt des témoins</x:v>
      </x:c>
      <x:c r="D18" s="12" t="str">
        <x:v>Rayonnages, microfilms et salle de classement.</x:v>
      </x:c>
      <x:c r="E18" s="12" t="str">
        <x:v>Tampons, dates et fiches contradictoires.</x:v>
      </x:c>
      <x:c r="F18" s="12" t="str">
        <x:v>paired_stamp, paired_newspaper</x:v>
      </x:c>
      <x:c r="G18" s="13" t="str">
        <x:v>Conçu — non implémenté</x:v>
      </x:c>
      <x:c r="H18" s="12" t="str">
        <x:v>Favoriser les différences de sens et les preuves narratives.</x:v>
      </x:c>
    </x:row>
    <x:row r="19" ht="40" customHeight="1">
      <x:c r="A19" s="11" t="str">
        <x:v>Z14</x:v>
      </x:c>
      <x:c r="B19" s="11" t="str">
        <x:v>Finale</x:v>
      </x:c>
      <x:c r="C19" s="11" t="str">
        <x:v>Salle de concordance</x:v>
      </x:c>
      <x:c r="D19" s="11" t="str">
        <x:v>Salle réunissant symboliquement les perceptions de l’équipe.</x:v>
      </x:c>
      <x:c r="E19" s="11" t="str">
        <x:v>Table centrale, neuf témoins lumineux.</x:v>
      </x:c>
      <x:c r="F19" s="11" t="str">
        <x:v>Dénouement étendu</x:v>
      </x:c>
      <x:c r="G19" s="13" t="str">
        <x:v>Conçu — non implémenté</x:v>
      </x:c>
      <x:c r="H19" s="11" t="str">
        <x:v>Nouveau lieu à produire. Le bilan de victoire actuel ne vaut pas cette carte.</x:v>
      </x:c>
    </x:row>
    <x:row r="20" ht="51" customHeight="1">
      <x:c r="A20" s="12" t="str">
        <x:v>Z15</x:v>
      </x:c>
      <x:c r="B20" s="12" t="str">
        <x:v>Commun</x:v>
      </x:c>
      <x:c r="C20" s="12" t="str">
        <x:v>Station de radio</x:v>
      </x:c>
      <x:c r="D20" s="12" t="str">
        <x:v>Dispositif d’étalonnage et repères compatibles avec les trois architectures.</x:v>
      </x:c>
      <x:c r="E20" s="12" t="str">
        <x:v>1 / 2 / 3 ; retour au silence.</x:v>
      </x:c>
      <x:c r="F20" s="12" t="str">
        <x:v>radio_echo, radio_chop, radio_static, radio_detune, radio_wrong_channel, radio_aftertone</x:v>
      </x:c>
      <x:c r="G20" s="13" t="str">
        <x:v>Implémenté — QA partielle</x:v>
      </x:c>
      <x:c r="H20" s="12" t="str">
        <x:v>Le test est local et déterministe ; il ne dépend pas de la qualité du microphone.</x:v>
      </x:c>
    </x:row>
    <x:row r="21" ht="40" customHeight="1">
      <x:c r="A21" s="11" t="str">
        <x:v>Z16</x:v>
      </x:c>
      <x:c r="B21" s="11" t="str">
        <x:v>Commun</x:v>
      </x:c>
      <x:c r="C21" s="11" t="str">
        <x:v>Surface de réflexion</x:v>
      </x:c>
      <x:c r="D21" s="11" t="str">
        <x:v>Miroir à hauteur de corps et zone où s’immobiliser pour comparer.</x:v>
      </x:c>
      <x:c r="E21" s="11" t="str">
        <x:v>Un corps par inspecteur ; gestes synchrones.</x:v>
      </x:c>
      <x:c r="F21" s="11" t="str">
        <x:v>reflection_delay, reflection_absent, reflection_independent</x:v>
      </x:c>
      <x:c r="G21" s="13" t="str">
        <x:v>Implémenté — QA partielle</x:v>
      </x:c>
      <x:c r="H21" s="11" t="str">
        <x:v>Prévoir recul suffisant, lumière stable et cadre visible pour distinguer écran, mur et miroir.</x:v>
      </x:c>
    </x:row>
    <x:row r="22" ht="40" customHeight="1">
      <x:c r="A22" s="12" t="str">
        <x:v>Z17</x:v>
      </x:c>
      <x:c r="B22" s="12" t="str">
        <x:v>Terminus 09</x:v>
      </x:c>
      <x:c r="C22" s="12" t="str">
        <x:v>Ligne de sécurité</x:v>
      </x:c>
      <x:c r="D22" s="12" t="str">
        <x:v>Bord du quai et axes des rails repérables depuis une position sûre.</x:v>
      </x:c>
      <x:c r="E22" s="12" t="str">
        <x:v>Deux rails droits et parallèles au sol.</x:v>
      </x:c>
      <x:c r="F22" s="12" t="str">
        <x:v>metro_tracks, metro_shadow_train</x:v>
      </x:c>
      <x:c r="G22" s="13" t="str">
        <x:v>Implémenté — QA partielle</x:v>
      </x:c>
      <x:c r="H22" s="12" t="str">
        <x:v>Aucun indice ne doit imposer de marcher sur la voie. Conserver les collisions partagées.</x:v>
      </x:c>
    </x:row>
    <x:row r="23" ht="40" customHeight="1">
      <x:c r="A23" s="11" t="str">
        <x:v>Z18</x:v>
      </x:c>
      <x:c r="B23" s="11" t="str">
        <x:v>Terminus 09</x:v>
      </x:c>
      <x:c r="C23" s="11" t="str">
        <x:v>Afficheur</x:v>
      </x:c>
      <x:c r="D23" s="11" t="str">
        <x:v>Écran visible depuis le parcours ; baseline lisible pendant la référence.</x:v>
      </x:c>
      <x:c r="E23" s="11" t="str">
        <x:v>QUAI 09 / SERVICE TERMINÉ.</x:v>
      </x:c>
      <x:c r="F23" s="11" t="str">
        <x:v>metro_destination</x:v>
      </x:c>
      <x:c r="G23" s="13" t="str">
        <x:v>Implémenté — QA partielle</x:v>
      </x:c>
      <x:c r="H23" s="11" t="str">
        <x:v>Le changement est un fait de contenu ; une panne de police ou de texture est un défaut QA.</x:v>
      </x:c>
    </x:row>
    <x:row r="24" ht="40" customHeight="1">
      <x:c r="A24" s="12" t="str">
        <x:v>Z19</x:v>
      </x:c>
      <x:c r="B24" s="12" t="str">
        <x:v>Aile blanche</x:v>
      </x:c>
      <x:c r="C24" s="12" t="str">
        <x:v>Poste clinique</x:v>
      </x:c>
      <x:c r="D24" s="12" t="str">
        <x:v>Moniteur et lit repérables par la même ancre de communication.</x:v>
      </x:c>
      <x:c r="E24" s="12" t="str">
        <x:v>FC 072 / RYTHME SINUSAL ; lit vide au sol.</x:v>
      </x:c>
      <x:c r="F24" s="12" t="str">
        <x:v>clinic_monitor, clinic_bed</x:v>
      </x:c>
      <x:c r="G24" s="13" t="str">
        <x:v>Implémenté — QA partielle</x:v>
      </x:c>
      <x:c r="H24" s="12" t="str">
        <x:v>La fiction ne constitue aucun conseil médical ; les indications servent uniquement de référence de jeu.</x:v>
      </x:c>
    </x:row>
    <x:row r="25" ht="40" customHeight="1">
      <x:c r="A25" s="11" t="str">
        <x:v>Z20</x:v>
      </x:c>
      <x:c r="B25" s="11" t="str">
        <x:v>Aile blanche</x:v>
      </x:c>
      <x:c r="C25" s="11" t="str">
        <x:v>Paravent</x:v>
      </x:c>
      <x:c r="D25" s="11" t="str">
        <x:v>Écran médical et espace vide de référence derrière lui.</x:v>
      </x:c>
      <x:c r="E25" s="11" t="str">
        <x:v>Pas de silhouette ni de respiration du tissu.</x:v>
      </x:c>
      <x:c r="F25" s="11" t="str">
        <x:v>clinic_curtain, curtain_breath</x:v>
      </x:c>
      <x:c r="G25" s="13" t="str">
        <x:v>Implémenté — QA partielle</x:v>
      </x:c>
      <x:c r="H25" s="11" t="str">
        <x:v>Séparer silhouette et mouvement respirant par des preuves visibles différentes.</x:v>
      </x:c>
    </x:row>
    <x:row r="26" ht="40" customHeight="1">
      <x:c r="A26" s="12" t="str">
        <x:v>Z21</x:v>
      </x:c>
      <x:c r="B26" s="12" t="str">
        <x:v>Commun</x:v>
      </x:c>
      <x:c r="C26" s="12" t="str">
        <x:v>Fin de secteur</x:v>
      </x:c>
      <x:c r="D26" s="12" t="str">
        <x:v>Zone de sortie accessible même sous brouillard ou obscurité.</x:v>
      </x:c>
      <x:c r="E26" s="12" t="str">
        <x:v>Panneau de résultat et prochaine destination.</x:v>
      </x:c>
      <x:c r="F26" s="12" t="str">
        <x:v>Transition de campagne</x:v>
      </x:c>
      <x:c r="G26" s="13" t="str">
        <x:v>Implémenté — QA partielle</x:v>
      </x:c>
      <x:c r="H26" s="12" t="str">
        <x:v>Aucun vote implicite par le franchissement d’une porte ; conserver le choix explicite du groupe.</x:v>
      </x:c>
    </x:row>
  </x:sheetData>
  <x:conditionalFormatting sqref="G6:G26">
    <x:cfRule type="containsText" dxfId="18" priority="1" operator="containsText" text="Bloqué"/>
    <x:cfRule type="containsText" dxfId="19" priority="2" operator="containsText" text="Validé"/>
    <x:cfRule type="containsText" dxfId="20" priority="3" operator="containsText" text="Réussi"/>
  </x:conditionalFormatting>
  <x:dataValidations count="1">
    <x:dataValidation type="list" sqref="G6:G26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24c44b8c9c40f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57" hidden="0" customWidth="1"/>
    <x:col min="4" max="4" width="51" hidden="0" customWidth="1"/>
    <x:col min="5" max="5" width="31" hidden="0" customWidth="1"/>
    <x:col min="6" max="6" width="52" hidden="0" customWidth="1"/>
    <x:col min="7" max="7" width="64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Direction artistique et production 3D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Géométrie procédurale actuelle ; objectifs haute définition et vérifications matérielles séparés.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Élément</x:v>
      </x:c>
      <x:c r="C5" s="10" t="str">
        <x:v>Traitement</x:v>
      </x:c>
      <x:c r="D5" s="10" t="str">
        <x:v>Contraintes</x:v>
      </x:c>
      <x:c r="E5" s="10" t="str">
        <x:v>Statut</x:v>
      </x:c>
      <x:c r="F5" s="10" t="str">
        <x:v>Critère visuel / performance</x:v>
      </x:c>
      <x:c r="G5" s="10" t="str">
        <x:v>Limite ou étape suivante</x:v>
      </x:c>
    </x:row>
    <x:row r="6" ht="40" customHeight="1">
      <x:c r="A6" s="12" t="str">
        <x:v>A01</x:v>
      </x:c>
      <x:c r="B6" s="12" t="str">
        <x:v>Direction</x:v>
      </x:c>
      <x:c r="C6" s="12" t="str">
        <x:v>Trois atmosphères : hôtel laiton/bois, métro céramique/métal, clinique matière pâle/verre.</x:v>
      </x:c>
      <x:c r="D6" s="12" t="str">
        <x:v>Cohérence des repères ; silhouettes lisibles.</x:v>
      </x:c>
      <x:c r="E6" s="13" t="str">
        <x:v>Implémenté — QA partielle</x:v>
      </x:c>
      <x:c r="F6" s="12" t="str">
        <x:v>Chaque lieu se reconnaît avant la première anomalie.</x:v>
      </x:c>
      <x:c r="G6" s="12" t="str">
        <x:v>Les couleurs ne constituent jamais la seule preuve accessible.</x:v>
      </x:c>
    </x:row>
    <x:row r="7" ht="40" customHeight="1">
      <x:c r="A7" s="11" t="str">
        <x:v>A02</x:v>
      </x:c>
      <x:c r="B7" s="11" t="str">
        <x:v>Architecture</x:v>
      </x:c>
      <x:c r="C7" s="11" t="str">
        <x:v>Modules de mur, plinthes, chambranles, moulures et joints.</x:v>
      </x:c>
      <x:c r="D7" s="11" t="str">
        <x:v>Bords chanfreinés pour accrocher la lumière.</x:v>
      </x:c>
      <x:c r="E7" s="13" t="str">
        <x:v>Présent</x:v>
      </x:c>
      <x:c r="F7" s="11" t="str">
        <x:v>Pas de joints ouverts ni de z-fighting</x:v>
      </x:c>
      <x:c r="G7" s="11" t="str">
        <x:v>La scène procédurale remplace temporairement une production d’assets sculptés.</x:v>
      </x:c>
    </x:row>
    <x:row r="8" ht="40" customHeight="1">
      <x:c r="A8" s="12" t="str">
        <x:v>A03</x:v>
      </x:c>
      <x:c r="B8" s="12" t="str">
        <x:v>Fauteuil</x:v>
      </x:c>
      <x:c r="C8" s="12" t="str">
        <x:v>Coussins arrondis, coutures suggérées, pieds et garnitures distinctes.</x:v>
      </x:c>
      <x:c r="D8" s="12" t="str">
        <x:v>Conserver une silhouette claire et un contact au sol lisible.</x:v>
      </x:c>
      <x:c r="E8" s="13" t="str">
        <x:v>Présent</x:v>
      </x:c>
      <x:c r="F8" s="12" t="str">
        <x:v>Lévitation visible sans ombre avancée</x:v>
      </x:c>
      <x:c r="G8" s="12" t="str">
        <x:v>High poly concerne une géométrie détaillée. Un grand nombre de triangles seul ne garantit pas le réalisme.</x:v>
      </x:c>
    </x:row>
    <x:row r="9" ht="40" customHeight="1">
      <x:c r="A9" s="11" t="str">
        <x:v>A04</x:v>
      </x:c>
      <x:c r="B9" s="11" t="str">
        <x:v>Plantes</x:v>
      </x:c>
      <x:c r="C9" s="11" t="str">
        <x:v>Tiges, feuilles courbes et pot séparés.</x:v>
      </x:c>
      <x:c r="D9" s="11" t="str">
        <x:v>Variantes mortes et hautes sans mélanger les collisions.</x:v>
      </x:c>
      <x:c r="E9" s="13" t="str">
        <x:v>Présent</x:v>
      </x:c>
      <x:c r="F9" s="11" t="str">
        <x:v>Pas de traversée visible du plafond</x:v>
      </x:c>
      <x:c r="G9" s="11" t="str">
        <x:v>Réduire la complexité lointaine avant de supprimer des indices.</x:v>
      </x:c>
    </x:row>
    <x:row r="10" ht="40" customHeight="1">
      <x:c r="A10" s="12" t="str">
        <x:v>A05</x:v>
      </x:c>
      <x:c r="B10" s="12" t="str">
        <x:v>Chariot</x:v>
      </x:c>
      <x:c r="C10" s="12" t="str">
        <x:v>Tubes courbés, poignées, roues et valise indépendante.</x:v>
      </x:c>
      <x:c r="D10" s="12" t="str">
        <x:v>Métal, cuir et caoutchouc différenciés.</x:v>
      </x:c>
      <x:c r="E10" s="13" t="str">
        <x:v>Présent</x:v>
      </x:c>
      <x:c r="F10" s="12" t="str">
        <x:v>Disparition totale du groupe visuel</x:v>
      </x:c>
      <x:c r="G10" s="12" t="str">
        <x:v>Ne pas laisser la valise flotter quand le chariot disparaît.</x:v>
      </x:c>
    </x:row>
    <x:row r="11" ht="40" customHeight="1">
      <x:c r="A11" s="11" t="str">
        <x:v>A06</x:v>
      </x:c>
      <x:c r="B11" s="11" t="str">
        <x:v>Portes</x:v>
      </x:c>
      <x:c r="C11" s="11" t="str">
        <x:v>Battants, plaques lisibles et poignées indépendantes.</x:v>
      </x:c>
      <x:c r="D11" s="11" t="str">
        <x:v>Numéros 901–904, variante 909.</x:v>
      </x:c>
      <x:c r="E11" s="13" t="str">
        <x:v>Présent</x:v>
      </x:c>
      <x:c r="F11" s="11" t="str">
        <x:v>Lecture à distance normale</x:v>
      </x:c>
      <x:c r="G11" s="11" t="str">
        <x:v>La typographie est créée pour le projet, sans récupérer les affiches d’autres jeux.</x:v>
      </x:c>
    </x:row>
    <x:row r="12" ht="40" customHeight="1">
      <x:c r="A12" s="12" t="str">
        <x:v>A07</x:v>
      </x:c>
      <x:c r="B12" s="12" t="str">
        <x:v>Horloge</x:v>
      </x:c>
      <x:c r="C12" s="12" t="str">
        <x:v>Boîtier rond subdivisé et aiguilles indépendantes.</x:v>
      </x:c>
      <x:c r="D12" s="12" t="str">
        <x:v>03:09 comme repère, trotteuse normale ou inverse.</x:v>
      </x:c>
      <x:c r="E12" s="13" t="str">
        <x:v>Présent</x:v>
      </x:c>
      <x:c r="F12" s="12" t="str">
        <x:v>Sens lisible sur trois secondes</x:v>
      </x:c>
      <x:c r="G12" s="12" t="str">
        <x:v>La petite aiguille ne doit pas être confondue avec la trotteuse.</x:v>
      </x:c>
    </x:row>
    <x:row r="13" ht="40" customHeight="1">
      <x:c r="A13" s="11" t="str">
        <x:v>A08</x:v>
      </x:c>
      <x:c r="B13" s="11" t="str">
        <x:v>Tableau</x:v>
      </x:c>
      <x:c r="C13" s="11" t="str">
        <x:v>Œuvre abstraite originale créée par code.</x:v>
      </x:c>
      <x:c r="D13" s="11" t="str">
        <x:v>Variantes vide et yeux intégrées au même cadre.</x:v>
      </x:c>
      <x:c r="E13" s="13" t="str">
        <x:v>Présent</x:v>
      </x:c>
      <x:c r="F13" s="11" t="str">
        <x:v>Le tableau est visible sans zoom extrême</x:v>
      </x:c>
      <x:c r="G13" s="11" t="str">
        <x:v>La vue normale doit être montrée pendant la référence.</x:v>
      </x:c>
    </x:row>
    <x:row r="14" ht="40" customHeight="1">
      <x:c r="A14" s="12" t="str">
        <x:v>A09</x:v>
      </x:c>
      <x:c r="B14" s="12" t="str">
        <x:v>Miroir</x:v>
      </x:c>
      <x:c r="C14" s="12" t="str">
        <x:v>Rendu planaire du décor, du corps local et des équipiers.</x:v>
      </x:c>
      <x:c r="D14" s="12" t="str">
        <x:v>Désynchronisation ou masquage propre à la perception.</x:v>
      </x:c>
      <x:c r="E14" s="13" t="str">
        <x:v>Implémenté — QA partielle</x:v>
      </x:c>
      <x:c r="F14" s="12" t="str">
        <x:v>Le décor reste réfléchi quand seul le corps disparaît.</x:v>
      </x:c>
      <x:c r="G14" s="12" t="str">
        <x:v>Reflection pass temps réel ; pas de promesse de ray tracing ni de validation de pixels GPU.</x:v>
      </x:c>
    </x:row>
    <x:row r="15" ht="40" customHeight="1">
      <x:c r="A15" s="11" t="str">
        <x:v>A10</x:v>
      </x:c>
      <x:c r="B15" s="11" t="str">
        <x:v>Verre</x:v>
      </x:c>
      <x:c r="C15" s="11" t="str">
        <x:v>Vitres réfléchissantes planaires et lumière propre à chaque architecture.</x:v>
      </x:c>
      <x:c r="D15" s="11" t="str">
        <x:v>Couleur, opacité et reflet maîtrisés.</x:v>
      </x:c>
      <x:c r="E15" s="13" t="str">
        <x:v>Implémenté — QA partielle</x:v>
      </x:c>
      <x:c r="F15" s="11" t="str">
        <x:v>Lire silhouette et reflet sans surface noire involontaire.</x:v>
      </x:c>
      <x:c r="G15" s="11" t="str">
        <x:v>Tester angles extrêmes, appareil mobile, transparence et ordre de rendu.</x:v>
      </x:c>
    </x:row>
    <x:row r="16" ht="40" customHeight="1">
      <x:c r="A16" s="12" t="str">
        <x:v>A11</x:v>
      </x:c>
      <x:c r="B16" s="12" t="str">
        <x:v>Éclairage</x:v>
      </x:c>
      <x:c r="C16" s="12" t="str">
        <x:v>Lumières chaudes, ombres, sources visibles et lampe personnelle.</x:v>
      </x:c>
      <x:c r="D16" s="12" t="str">
        <x:v>Exposition cinéma et séparation du fond.</x:v>
      </x:c>
      <x:c r="E16" s="13" t="str">
        <x:v>Présent</x:v>
      </x:c>
      <x:c r="F16" s="12" t="str">
        <x:v>Objets inspectables sans surexposition</x:v>
      </x:c>
      <x:c r="G16" s="12" t="str">
        <x:v>Tester l’équilibre sur écrans lumineux et sombres.</x:v>
      </x:c>
    </x:row>
    <x:row r="17" ht="40" customHeight="1">
      <x:c r="A17" s="11" t="str">
        <x:v>A12</x:v>
      </x:c>
      <x:c r="B17" s="11" t="str">
        <x:v>Matières</x:v>
      </x:c>
      <x:c r="C17" s="11" t="str">
        <x:v>Textures procédurales bois, pierre, tissu et métal.</x:v>
      </x:c>
      <x:c r="D17" s="11" t="str">
        <x:v>Rugosité différenciée et détails de surface.</x:v>
      </x:c>
      <x:c r="E17" s="13" t="str">
        <x:v>Présent</x:v>
      </x:c>
      <x:c r="F17" s="11" t="str">
        <x:v>Pas d’étirement excessif du grain</x:v>
      </x:c>
      <x:c r="G17" s="11" t="str">
        <x:v>Textures PBR photographiques 2K/4K sous licence restent une étape de production.</x:v>
      </x:c>
    </x:row>
    <x:row r="18" ht="40" customHeight="1">
      <x:c r="A18" s="12" t="str">
        <x:v>A13</x:v>
      </x:c>
      <x:c r="B18" s="12" t="str">
        <x:v>Atmosphère</x:v>
      </x:c>
      <x:c r="C18" s="12" t="str">
        <x:v>Brume, poussière et pluie sans masquer les indices.</x:v>
      </x:c>
      <x:c r="D18" s="12" t="str">
        <x:v>Intensité localisée par observateur.</x:v>
      </x:c>
      <x:c r="E18" s="13" t="str">
        <x:v>Présent</x:v>
      </x:c>
      <x:c r="F18" s="12" t="str">
        <x:v>Pas de gêne persistante à la lecture</x:v>
      </x:c>
      <x:c r="G18" s="12" t="str">
        <x:v>Limiter les particules sur mobile.</x:v>
      </x:c>
    </x:row>
    <x:row r="19" ht="40" customHeight="1">
      <x:c r="A19" s="11" t="str">
        <x:v>A14</x:v>
      </x:c>
      <x:c r="B19" s="11" t="str">
        <x:v>Personnages</x:v>
      </x:c>
      <x:c r="C19" s="11" t="str">
        <x:v>Inspecteurs originaux procéduraux, corps articulés, équipements et gestes de talkie.</x:v>
      </x:c>
      <x:c r="D19" s="11" t="str">
        <x:v>Modèle visible de soi, des partenaires et dans les reflets.</x:v>
      </x:c>
      <x:c r="E19" s="13" t="str">
        <x:v>Implémenté — QA partielle</x:v>
      </x:c>
      <x:c r="F19" s="11" t="str">
        <x:v>Marche, contact au sol et orientation cohérents.</x:v>
      </x:c>
      <x:c r="G19" s="11" t="str">
        <x:v>Des personnages sculptés et texturés photoréalistes restent une production future.</x:v>
      </x:c>
    </x:row>
    <x:row r="20" ht="40" customHeight="1">
      <x:c r="A20" s="12" t="str">
        <x:v>A15</x:v>
      </x:c>
      <x:c r="B20" s="12" t="str">
        <x:v>Qualités</x:v>
      </x:c>
      <x:c r="C20" s="12" t="str">
        <x:v>Profils bas, moyen et haut.</x:v>
      </x:c>
      <x:c r="D20" s="12" t="str">
        <x:v>Résolution de rendu et ombres adaptées.</x:v>
      </x:c>
      <x:c r="E20" s="13" t="str">
        <x:v>Implémenté — QA partielle</x:v>
      </x:c>
      <x:c r="F20" s="12" t="str">
        <x:v>Aucune anomalie supprimée par la qualité</x:v>
      </x:c>
      <x:c r="G20" s="12" t="str">
        <x:v>Une qualité basse doit conserver toutes les preuves nécessaires.</x:v>
      </x:c>
    </x:row>
    <x:row r="21" ht="40" customHeight="1">
      <x:c r="A21" s="11" t="str">
        <x:v>A16</x:v>
      </x:c>
      <x:c r="B21" s="11" t="str">
        <x:v>Cible PC</x:v>
      </x:c>
      <x:c r="C21" s="11" t="str">
        <x:v>Viser 60 images/s à 1080p sur une configuration de référence à définir.</x:v>
      </x:c>
      <x:c r="D21" s="11" t="str">
        <x:v>Mesurer CPU, GPU, draw calls et triangles dans le build.</x:v>
      </x:c>
      <x:c r="E21" s="13" t="str">
        <x:v>Conçu — non implémenté</x:v>
      </x:c>
      <x:c r="F21" s="11" t="str">
        <x:v>Profil matériel et parcours QA publiés</x:v>
      </x:c>
      <x:c r="G21" s="11" t="str">
        <x:v>Objectif de production, pas résultat certifié.</x:v>
      </x:c>
    </x:row>
    <x:row r="22" ht="40" customHeight="1">
      <x:c r="A22" s="12" t="str">
        <x:v>A17</x:v>
      </x:c>
      <x:c r="B22" s="12" t="str">
        <x:v>Cible mobile</x:v>
      </x:c>
      <x:c r="C22" s="12" t="str">
        <x:v>Viser une inspection confortable avec rendu adaptatif.</x:v>
      </x:c>
      <x:c r="D22" s="12" t="str">
        <x:v>Commandes tactiles et limitation du coût des ombres.</x:v>
      </x:c>
      <x:c r="E22" s="13" t="str">
        <x:v>À vérifier</x:v>
      </x:c>
      <x:c r="F22" s="12" t="str">
        <x:v>Mesure réelle sur iPhone et Android</x:v>
      </x:c>
      <x:c r="G22" s="12" t="str">
        <x:v>Le test desktop seul ne prouve pas la performance mobile.</x:v>
      </x:c>
    </x:row>
    <x:row r="23" ht="40" customHeight="1">
      <x:c r="A23" s="11" t="str">
        <x:v>A18</x:v>
      </x:c>
      <x:c r="B23" s="11" t="str">
        <x:v>Sculpt haute définition</x:v>
      </x:c>
      <x:c r="C23" s="11" t="str">
        <x:v>Sculpter objets héro, tissus et visages originaux.</x:v>
      </x:c>
      <x:c r="D23" s="11" t="str">
        <x:v>Créer références, sculpt, retopologie et bake.</x:v>
      </x:c>
      <x:c r="E23" s="13" t="str">
        <x:v>Conçu — non implémenté</x:v>
      </x:c>
      <x:c r="F23" s="11" t="str">
        <x:v>Validation des silhouettes proches</x:v>
      </x:c>
      <x:c r="G23" s="11" t="str">
        <x:v>Un projet natif Unreal Engine 5 n’est pas inclus dans la première version web.</x:v>
      </x:c>
    </x:row>
    <x:row r="24" ht="40" customHeight="1">
      <x:c r="A24" s="12" t="str">
        <x:v>A19</x:v>
      </x:c>
      <x:c r="B24" s="12" t="str">
        <x:v>Pipeline PBR</x:v>
      </x:c>
      <x:c r="C24" s="12" t="str">
        <x:v>Base color, roughness, metalness, normal, AO et variantes.</x:v>
      </x:c>
      <x:c r="D24" s="12" t="str">
        <x:v>Étalonner les valeurs et partager une échelle de texels.</x:v>
      </x:c>
      <x:c r="E24" s="13" t="str">
        <x:v>Conçu — non implémenté</x:v>
      </x:c>
      <x:c r="F24" s="12" t="str">
        <x:v>Matériaux cohérents sous plusieurs lumières</x:v>
      </x:c>
      <x:c r="G24" s="12" t="str">
        <x:v>Prévoir les sources et licences dans le registre des assets.</x:v>
      </x:c>
    </x:row>
    <x:row r="25" ht="40" customHeight="1">
      <x:c r="A25" s="11" t="str">
        <x:v>A20</x:v>
      </x:c>
      <x:c r="B25" s="11" t="str">
        <x:v>Animation personnage</x:v>
      </x:c>
      <x:c r="C25" s="11" t="str">
        <x:v>Locomotion et articulation procédurales ; états PTT, rigidité, double et salut de reflet.</x:v>
      </x:c>
      <x:c r="D25" s="11" t="str">
        <x:v>Animation lisible et baseline reproductible.</x:v>
      </x:c>
      <x:c r="E25" s="13" t="str">
        <x:v>Partiel</x:v>
      </x:c>
      <x:c r="F25" s="11" t="str">
        <x:v>Pas de déformation non finie ni de résidu après reset.</x:v>
      </x:c>
      <x:c r="G25" s="11" t="str">
        <x:v>Mocap autorisée, retarget, IK des pieds et animation faciale de qualité finale restent à produire.</x:v>
      </x:c>
    </x:row>
    <x:row r="26" ht="40" customHeight="1">
      <x:c r="A26" s="12" t="str">
        <x:v>A21</x:v>
      </x:c>
      <x:c r="B26" s="12" t="str">
        <x:v>LOD</x:v>
      </x:c>
      <x:c r="C26" s="12" t="str">
        <x:v>Niveaux de détail et culling sans changement de preuve.</x:v>
      </x:c>
      <x:c r="D26" s="12" t="str">
        <x:v>Conserver plaques, yeux et traces jusqu’à distance utile.</x:v>
      </x:c>
      <x:c r="E26" s="13" t="str">
        <x:v>Conçu — non implémenté</x:v>
      </x:c>
      <x:c r="F26" s="12" t="str">
        <x:v>Les transitions ne ressemblent pas à une anomalie</x:v>
      </x:c>
      <x:c r="G26" s="12" t="str">
        <x:v>Pas de pop visible pendant l’inspection.</x:v>
      </x:c>
    </x:row>
    <x:row r="27" ht="40" customHeight="1">
      <x:c r="A27" s="11" t="str">
        <x:v>A22</x:v>
      </x:c>
      <x:c r="B27" s="11" t="str">
        <x:v>Post-traitement</x:v>
      </x:c>
      <x:c r="C27" s="11" t="str">
        <x:v>Exposition, vignette discrète et contraste contrôlé.</x:v>
      </x:c>
      <x:c r="D27" s="11" t="str">
        <x:v>Fournir options de confort.</x:v>
      </x:c>
      <x:c r="E27" s="13" t="str">
        <x:v>À vérifier</x:v>
      </x:c>
      <x:c r="F27" s="11" t="str">
        <x:v>Lisibilité et absence de flash rapide</x:v>
      </x:c>
      <x:c r="G27" s="11" t="str">
        <x:v>Grain, aberration et motion blur ne sont pas des prérequis au réalisme.</x:v>
      </x:c>
    </x:row>
    <x:row r="28" ht="40" customHeight="1">
      <x:c r="A28" s="12" t="str">
        <x:v>A23</x:v>
      </x:c>
      <x:c r="B28" s="12" t="str">
        <x:v>Assets sources</x:v>
      </x:c>
      <x:c r="C28" s="12" t="str">
        <x:v>Conserver sources modifiables, exports et documentation.</x:v>
      </x:c>
      <x:c r="D28" s="12" t="str">
        <x:v>Nom stable par ID moteur.</x:v>
      </x:c>
      <x:c r="E28" s="13" t="str">
        <x:v>Présent</x:v>
      </x:c>
      <x:c r="F28" s="12" t="str">
        <x:v>Chaque effet est retrouvé dans le code</x:v>
      </x:c>
      <x:c r="G28" s="12" t="str">
        <x:v>Le catalogue Excel pointe vers l’identifiant moteur, pas un statut inventé.</x:v>
      </x:c>
    </x:row>
    <x:row r="29" ht="40" customHeight="1">
      <x:c r="A29" s="11" t="str">
        <x:v>A24</x:v>
      </x:c>
      <x:c r="B29" s="11" t="str">
        <x:v>Packaging natif</x:v>
      </x:c>
      <x:c r="C29" s="11" t="str">
        <x:v>Étudier build PC, launcher, manette et installation.</x:v>
      </x:c>
      <x:c r="D29" s="11" t="str">
        <x:v>Choisir moteur et chaîne après validation du prototype.</x:v>
      </x:c>
      <x:c r="E29" s="13" t="str">
        <x:v>Conçu — non implémenté</x:v>
      </x:c>
      <x:c r="F29" s="11" t="str">
        <x:v>Exécutable signé et testé sur machine propre</x:v>
      </x:c>
      <x:c r="G29" s="11" t="str">
        <x:v>Une archive source web ne vaut pas un exécutable Windows ni un jeu commercial final.</x:v>
      </x:c>
    </x:row>
    <x:row r="30" ht="77" customHeight="1">
      <x:c r="A30" s="12" t="str">
        <x:v>A25</x:v>
      </x:c>
      <x:c r="B30" s="12" t="str">
        <x:v>Géométrie contrôlée</x:v>
      </x:c>
      <x:c r="C30" s="12" t="str">
        <x:v>Hôtel : 196 580 triangles ; métro : 84 278 ; clinique : 107 032, effets cachés compris. Inspecteur articulé : 52 444 triangles. Six surfaces planaires, deux actives par lieu.</x:v>
      </x:c>
      <x:c r="D30" s="12" t="str">
        <x:v>Preuves v0.2 conservées : 11 suites CPU réussies : données finies, normales, luminaires, 48 effets et raycasts, corps/reflets sans récursion, retard réel proche d’une seconde, traversée des trois lieux, relais, collision, qualité et nettoyage.</x:v>
      </x:c>
      <x:c r="E30" s="13" t="str">
        <x:v>Contrôle structurel partiel</x:v>
      </x:c>
      <x:c r="F30" s="12" t="str">
        <x:v>Contrôle de données et raycasts ; aucune mesure FPS implicite.</x:v>
      </x:c>
      <x:c r="G30" s="12" t="str">
        <x:v>Le navigateur de contrôle ne fournit pas de renderer WebGL actif. Les shaders, reflets et images restent à éprouver sur GPU.</x:v>
      </x:c>
    </x:row>
    <x:row r="31" ht="40" customHeight="1">
      <x:c r="A31" s="11" t="str">
        <x:v>A26</x:v>
      </x:c>
      <x:c r="B31" s="11" t="str">
        <x:v>Échelle commune</x:v>
      </x:c>
      <x:c r="C31" s="11" t="str">
        <x:v>Travailler en mètres, fixer hauteur caméra, portes et corps avant sculpt.</x:v>
      </x:c>
      <x:c r="D31" s="11" t="str">
        <x:v>Documenter un mannequin de mesure et les limites de collision.</x:v>
      </x:c>
      <x:c r="E31" s="13" t="str">
        <x:v>Conçu — non implémenté</x:v>
      </x:c>
      <x:c r="F31" s="11" t="str">
        <x:v>Aucune variation d’échelle accidentelle ne ressemble à une anomalie.</x:v>
      </x:c>
      <x:c r="G31" s="11" t="str">
        <x:v>La valeur finale de texel density découlera des distances réelles d’inspection.</x:v>
      </x:c>
    </x:row>
    <x:row r="32" ht="40" customHeight="1">
      <x:c r="A32" s="12" t="str">
        <x:v>A27</x:v>
      </x:c>
      <x:c r="B32" s="12" t="str">
        <x:v>Sources sculptées</x:v>
      </x:c>
      <x:c r="C32" s="12" t="str">
        <x:v>Produire en priorité radio, visage/visière, miroir, lit et afficheur métro.</x:v>
      </x:c>
      <x:c r="D32" s="12" t="str">
        <x:v>Sculpt source haute définition séparé du maillage temps réel.</x:v>
      </x:c>
      <x:c r="E32" s="13" t="str">
        <x:v>Conçu — non implémenté</x:v>
      </x:c>
      <x:c r="F32" s="12" t="str">
        <x:v>Chaque détail améliore silhouette ou lumière au cadrage utile.</x:v>
      </x:c>
      <x:c r="G32" s="12" t="str">
        <x:v>Le nombre de polygones source est un moyen ; le rendu validé est le critère.</x:v>
      </x:c>
    </x:row>
    <x:row r="33" ht="40" customHeight="1">
      <x:c r="A33" s="11" t="str">
        <x:v>A28</x:v>
      </x:c>
      <x:c r="B33" s="11" t="str">
        <x:v>Textures 2K / 4K</x:v>
      </x:c>
      <x:c r="C33" s="11" t="str">
        <x:v>Prévoir 4K sur héros très proches, 2K mutualisé sur accessoires et atlas modulaires.</x:v>
      </x:c>
      <x:c r="D33" s="11" t="str">
        <x:v>Budgets proposés, à mesurer ; pas de chargement 4K universel.</x:v>
      </x:c>
      <x:c r="E33" s="13" t="str">
        <x:v>Conçu — non implémenté</x:v>
      </x:c>
      <x:c r="F33" s="11" t="str">
        <x:v>Texel density cohérente, mips corrects et mémoire publiée par profil.</x:v>
      </x:c>
      <x:c r="G33" s="11" t="str">
        <x:v>Réserver les images 8K aux sources ou cas prouvés ; ne pas promettre de gain visible automatique.</x:v>
      </x:c>
    </x:row>
    <x:row r="34" ht="40" customHeight="1">
      <x:c r="A34" s="12" t="str">
        <x:v>A29</x:v>
      </x:c>
      <x:c r="B34" s="12" t="str">
        <x:v>Bake et UV</x:v>
      </x:c>
      <x:c r="C34" s="12" t="str">
        <x:v>Bake normal/AO/curvature sur cages propres ; vérifier îlots, padding et miroirs UV.</x:v>
      </x:c>
      <x:c r="D34" s="12" t="str">
        <x:v>Conserver les variantes d’anomalie sur le même espace UV si pertinent.</x:v>
      </x:c>
      <x:c r="E34" s="13" t="str">
        <x:v>Conçu — non implémenté</x:v>
      </x:c>
      <x:c r="F34" s="12" t="str">
        <x:v>Pas de couture brillante ou normal inversée prise pour une preuve.</x:v>
      </x:c>
      <x:c r="G34" s="12" t="str">
        <x:v>Fichiers source, presets et paramètres de bake versionnés.</x:v>
      </x:c>
    </x:row>
    <x:row r="35" ht="40" customHeight="1">
      <x:c r="A35" s="11" t="str">
        <x:v>A30</x:v>
      </x:c>
      <x:c r="B35" s="11" t="str">
        <x:v>Rig de production</x:v>
      </x:c>
      <x:c r="C35" s="11" t="str">
        <x:v>Chaîne racine, bassin, jambes, torse, bras, mains et tête ; sockets de talkie.</x:v>
      </x:c>
      <x:c r="D35" s="11" t="str">
        <x:v>Orientation identique au runtime et animations exportables.</x:v>
      </x:c>
      <x:c r="E35" s="13" t="str">
        <x:v>Conçu — non implémenté</x:v>
      </x:c>
      <x:c r="F35" s="11" t="str">
        <x:v>Main sur l’appareil, épaules stables, pieds sans glissement.</x:v>
      </x:c>
      <x:c r="G35" s="11" t="str">
        <x:v>Le rig procédural courant sert de contrat de jeu, pas de rig facial final.</x:v>
      </x:c>
    </x:row>
    <x:row r="36" ht="40" customHeight="1">
      <x:c r="A36" s="12" t="str">
        <x:v>A31</x:v>
      </x:c>
      <x:c r="B36" s="12" t="str">
        <x:v>Profilage reflet</x:v>
      </x:c>
      <x:c r="C36" s="12" t="str">
        <x:v>Mesurer pass principal, miroir et vitres sur un trajet identique.</x:v>
      </x:c>
      <x:c r="D36" s="12" t="str">
        <x:v>Comparer résolutions des cibles et nombre de surfaces actives.</x:v>
      </x:c>
      <x:c r="E36" s="13" t="str">
        <x:v>À tester sur GPU</x:v>
      </x:c>
      <x:c r="F36" s="12" t="str">
        <x:v>Aucun indice perdu en profil bas ; coût GPU mesuré par passe.</x:v>
      </x:c>
      <x:c r="G36" s="12" t="str">
        <x:v>Réduire fréquence ou résolution de reflet seulement si la baseline reste synchrone et lisible.</x:v>
      </x:c>
    </x:row>
    <x:row r="37" ht="40" customHeight="1">
      <x:c r="A37" s="11" t="str">
        <x:v>A32</x:v>
      </x:c>
      <x:c r="B37" s="11" t="str">
        <x:v>Conservation des preuves</x:v>
      </x:c>
      <x:c r="C37" s="11" t="str">
        <x:v>Identifier les meshes et matières qui portent chaque anomalie.</x:v>
      </x:c>
      <x:c r="D37" s="11" t="str">
        <x:v>Pas de culling ou LOD supprimant une preuve utile.</x:v>
      </x:c>
      <x:c r="E37" s="13" t="str">
        <x:v>Conçu — non implémenté</x:v>
      </x:c>
      <x:c r="F37" s="11" t="str">
        <x:v>Tests A/B de chaque qualité avec captures du même repère.</x:v>
      </x:c>
      <x:c r="G37" s="11" t="str">
        <x:v>La feuille Anomalies fournit les IDs moteur et les comparaisons à vérifier.</x:v>
      </x:c>
    </x:row>
    <x:row r="38" ht="40" customHeight="1">
      <x:c r="A38" s="12" t="str">
        <x:v>A33</x:v>
      </x:c>
      <x:c r="B38" s="12" t="str">
        <x:v>Sources et licence</x:v>
      </x:c>
      <x:c r="C38" s="12" t="str">
        <x:v>Dossier source par asset : auteur, licence, date, source, exports et variantes.</x:v>
      </x:c>
      <x:c r="D38" s="12" t="str">
        <x:v>Aucun modèle ou texture extrait des jeux d’inspiration.</x:v>
      </x:c>
      <x:c r="E38" s="13" t="str">
        <x:v>Partiel</x:v>
      </x:c>
      <x:c r="F38" s="12" t="str">
        <x:v>Sources procédurales incluses ; registre des futures ressources externes à compléter.</x:v>
      </x:c>
      <x:c r="G38" s="12" t="str">
        <x:v>Les générations ou achats futurs demandent la conservation des droits et versions.</x:v>
      </x:c>
    </x:row>
    <x:row r="39" ht="40" customHeight="1">
      <x:c r="A39" s="11" t="str">
        <x:v>A34</x:v>
      </x:c>
      <x:c r="B39" s="11" t="str">
        <x:v>Palette de peur</x:v>
      </x:c>
      <x:c r="C39" s="11" t="str">
        <x:v>Peur 1–2 : détail ; 3 : mouvement organique ; 4–5 : présence et contradiction corporelle.</x:v>
      </x:c>
      <x:c r="D39" s="11" t="str">
        <x:v>Pas de flash rapide ni volume excessif nécessaire au diagnostic.</x:v>
      </x:c>
      <x:c r="E39" s="13" t="str">
        <x:v>Conception définie</x:v>
      </x:c>
      <x:c r="F39" s="11" t="str">
        <x:v>Rythme calme entre apparitions ; débrief factuel.</x:v>
      </x:c>
      <x:c r="G39" s="11" t="str">
        <x:v>L’intensité est une intention de design, à confirmer en playtests de confort.</x:v>
      </x:c>
    </x:row>
  </x:sheetData>
  <x:conditionalFormatting sqref="E6:E39">
    <x:cfRule type="containsText" dxfId="21" priority="1" operator="containsText" text="Bloqué"/>
    <x:cfRule type="containsText" dxfId="22" priority="2" operator="containsText" text="Validé"/>
    <x:cfRule type="containsText" dxfId="23" priority="3" operator="containsText" text="Réussi"/>
  </x:conditionalFormatting>
  <x:dataValidations count="1">
    <x:dataValidation type="list" sqref="E6:E39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08f5982fa1425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57" hidden="0" customWidth="1"/>
    <x:col min="4" max="4" width="35" hidden="0" customWidth="1"/>
    <x:col min="5" max="5" width="31" hidden="0" customWidth="1"/>
    <x:col min="6" max="6" width="38" hidden="0" customWidth="1"/>
    <x:col min="7" max="7" width="6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Ambiances, bruitages et mixage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La voix et l’étalonnage disposent d’une feuille Radio ; cette feuille porte le paysage sonore.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Usage</x:v>
      </x:c>
      <x:c r="C5" s="10" t="str">
        <x:v>Traitement</x:v>
      </x:c>
      <x:c r="D5" s="10" t="str">
        <x:v>Origine / système</x:v>
      </x:c>
      <x:c r="E5" s="10" t="str">
        <x:v>Statut</x:v>
      </x:c>
      <x:c r="F5" s="10" t="str">
        <x:v>Accessibilité</x:v>
      </x:c>
      <x:c r="G5" s="10" t="str">
        <x:v>Règle de mixage ou de jeu</x:v>
      </x:c>
    </x:row>
    <x:row r="6" ht="40" customHeight="1">
      <x:c r="A6" s="12" t="str">
        <x:v>S01</x:v>
      </x:c>
      <x:c r="B6" s="12" t="str">
        <x:v>Ambiance des lieux</x:v>
      </x:c>
      <x:c r="C6" s="12" t="str">
        <x:v>Souffle d’hôtel, résonance de station, ventilation clinique ; textures synthétiques originales.</x:v>
      </x:c>
      <x:c r="D6" s="12" t="str">
        <x:v>Ambiances procédurales par lieu</x:v>
      </x:c>
      <x:c r="E6" s="13" t="str">
        <x:v>Implémenté — QA partielle</x:v>
      </x:c>
      <x:c r="F6" s="12" t="str">
        <x:v>Volume ambiance et mute</x:v>
      </x:c>
      <x:c r="G6" s="12" t="str">
        <x:v>Le paysage sonore doit laisser la voix compréhensible ; mix sur casque et haut-parleurs à écouter.</x:v>
      </x:c>
    </x:row>
    <x:row r="7" ht="40" customHeight="1">
      <x:c r="A7" s="11" t="str">
        <x:v>S02</x:v>
      </x:c>
      <x:c r="B7" s="11" t="str">
        <x:v>Pas</x:v>
      </x:c>
      <x:c r="C7" s="11" t="str">
        <x:v>Cadence de marche et timbre adaptés aux matières des trois lieux.</x:v>
      </x:c>
      <x:c r="D7" s="11" t="str">
        <x:v>Retour de locomotion procédural</x:v>
      </x:c>
      <x:c r="E7" s="13" t="str">
        <x:v>Implémenté — QA partielle</x:v>
      </x:c>
      <x:c r="F7" s="11" t="str">
        <x:v>Volume général et mute</x:v>
      </x:c>
      <x:c r="G7" s="11" t="str">
        <x:v>Des pas normaux ne doivent pas être l’unique signal de présence d’un joueur.</x:v>
      </x:c>
    </x:row>
    <x:row r="8" ht="40" customHeight="1">
      <x:c r="A8" s="12" t="str">
        <x:v>S03</x:v>
      </x:c>
      <x:c r="B8" s="12" t="str">
        <x:v>Interface</x:v>
      </x:c>
      <x:c r="C8" s="12" t="str">
        <x:v>Clic discret et confirmation de vote.</x:v>
      </x:c>
      <x:c r="D8" s="12" t="str">
        <x:v>Sons synthétiques originaux</x:v>
      </x:c>
      <x:c r="E8" s="13" t="str">
        <x:v>Implémenté — QA partielle</x:v>
      </x:c>
      <x:c r="F8" s="12" t="str">
        <x:v>Indicateur visuel équivalent</x:v>
      </x:c>
      <x:c r="G8" s="12" t="str">
        <x:v>Aucun son ne doit révéler à lui seul la vérité avant la résolution.</x:v>
      </x:c>
    </x:row>
    <x:row r="9" ht="40" customHeight="1">
      <x:c r="A9" s="11" t="str">
        <x:v>S04</x:v>
      </x:c>
      <x:c r="B9" s="11" t="str">
        <x:v>Réussite</x:v>
      </x:c>
      <x:c r="C9" s="11" t="str">
        <x:v>Courte résolution harmonique après diagnostic correct.</x:v>
      </x:c>
      <x:c r="D9" s="11" t="str">
        <x:v>Son de bilan</x:v>
      </x:c>
      <x:c r="E9" s="13" t="str">
        <x:v>Implémenté — QA partielle</x:v>
      </x:c>
      <x:c r="F9" s="11" t="str">
        <x:v>Texte de réussite</x:v>
      </x:c>
      <x:c r="G9" s="11" t="str">
        <x:v>Volume modéré et pas de victoire sonore prématurée.</x:v>
      </x:c>
    </x:row>
    <x:row r="10" ht="40" customHeight="1">
      <x:c r="A10" s="12" t="str">
        <x:v>S05</x:v>
      </x:c>
      <x:c r="B10" s="12" t="str">
        <x:v>Erreur</x:v>
      </x:c>
      <x:c r="C10" s="12" t="str">
        <x:v>Grave court après diagnostic incorrect.</x:v>
      </x:c>
      <x:c r="D10" s="12" t="str">
        <x:v>Son de bilan</x:v>
      </x:c>
      <x:c r="E10" s="13" t="str">
        <x:v>Implémenté — QA partielle</x:v>
      </x:c>
      <x:c r="F10" s="12" t="str">
        <x:v>Texte d’erreur</x:v>
      </x:c>
      <x:c r="G10" s="12" t="str">
        <x:v>Pas de pic sonore punitif nécessaire.</x:v>
      </x:c>
    </x:row>
    <x:row r="11" ht="40" customHeight="1">
      <x:c r="A11" s="11" t="str">
        <x:v>S06</x:v>
      </x:c>
      <x:c r="B11" s="11" t="str">
        <x:v>Relais</x:v>
      </x:c>
      <x:c r="C11" s="11" t="str">
        <x:v>L’afficheur est lisible visuellement.</x:v>
      </x:c>
      <x:c r="D11" s="11" t="str">
        <x:v>Aucun décodage sonore requis</x:v>
      </x:c>
      <x:c r="E11" s="13" t="str">
        <x:v>Présent</x:v>
      </x:c>
      <x:c r="F11" s="11" t="str">
        <x:v>Lecture à voix haute ou chat</x:v>
      </x:c>
      <x:c r="G11" s="11" t="str">
        <x:v>La communication est humaine. Pas de reconnaissance vocale obligatoire.</x:v>
      </x:c>
    </x:row>
    <x:row r="12" ht="40" customHeight="1">
      <x:c r="A12" s="12" t="str">
        <x:v>S07</x:v>
      </x:c>
      <x:c r="B12" s="12" t="str">
        <x:v>Talkie</x:v>
      </x:c>
      <x:c r="C12" s="12" t="str">
        <x:v>Bande limitée, compression, saturation légère et ouverture/fermeture de porteuse.</x:v>
      </x:c>
      <x:c r="D12" s="12" t="str">
        <x:v>WebAudio ; voix réelle transmise</x:v>
      </x:c>
      <x:c r="E12" s="13" t="str">
        <x:v>Implémenté — QA partielle</x:v>
      </x:c>
      <x:c r="F12" s="12" t="str">
        <x:v>Texte et relevé de calibration</x:v>
      </x:c>
      <x:c r="G12" s="12" t="str">
        <x:v>Les réglages exacts restent des choix de mix à auditer sur appareils. Voir feuille Radio.</x:v>
      </x:c>
    </x:row>
    <x:row r="13" ht="40" customHeight="1">
      <x:c r="A13" s="11" t="str">
        <x:v>S08</x:v>
      </x:c>
      <x:c r="B13" s="11" t="str">
        <x:v>Anomalies sonores</x:v>
      </x:c>
      <x:c r="C13" s="11" t="str">
        <x:v>Six anomalies de réception radio et leur séquence d’étalonnage équivalente.</x:v>
      </x:c>
      <x:c r="D13" s="11" t="str">
        <x:v>Effets privés sur réception</x:v>
      </x:c>
      <x:c r="E13" s="13" t="str">
        <x:v>Implémenté — QA partielle</x:v>
      </x:c>
      <x:c r="F13" s="11" t="str">
        <x:v>Relevé factuel 1 / 2 / 3 et variantes</x:v>
      </x:c>
      <x:c r="G13" s="11" t="str">
        <x:v>Les coups, respirations de décor et voix narratives du catalogue restent conçus, sauf ID explicitement présent.</x:v>
      </x:c>
    </x:row>
    <x:row r="14" ht="40" customHeight="1">
      <x:c r="A14" s="12" t="str">
        <x:v>S09</x:v>
      </x:c>
      <x:c r="B14" s="12" t="str">
        <x:v>Voice chat</x:v>
      </x:c>
      <x:c r="C14" s="12" t="str">
        <x:v>PTT, écoute sans micro, volume et coupure ; pairs WebRTC.</x:v>
      </x:c>
      <x:c r="D14" s="12" t="str">
        <x:v>Microphone après action explicite</x:v>
      </x:c>
      <x:c r="E14" s="13" t="str">
        <x:v>Implémenté — QA partielle</x:v>
      </x:c>
      <x:c r="F14" s="12" t="str">
        <x:v>Radio texte et calibration sans micro</x:v>
      </x:c>
      <x:c r="G14" s="12" t="str">
        <x:v>Pas de reconnaissance vocale requise, pas d’enregistrement applicatif et pas de clonage de voix.</x:v>
      </x:c>
    </x:row>
    <x:row r="15" ht="40" customHeight="1">
      <x:c r="A15" s="11" t="str">
        <x:v>S10</x:v>
      </x:c>
      <x:c r="B15" s="11" t="str">
        <x:v>Bande originale</x:v>
      </x:c>
      <x:c r="C15" s="11" t="str">
        <x:v>Pistes originales pour menu et dénouements.</x:v>
      </x:c>
      <x:c r="D15" s="11" t="str">
        <x:v>Musique composée</x:v>
      </x:c>
      <x:c r="E15" s="13" t="str">
        <x:v>Conçu — non implémenté</x:v>
      </x:c>
      <x:c r="F15" s="11" t="str">
        <x:v>Volume musique indépendant</x:v>
      </x:c>
      <x:c r="G15" s="11" t="str">
        <x:v>Prévoir droits et fichiers sources avant diffusion.</x:v>
      </x:c>
    </x:row>
    <x:row r="16" ht="40" customHeight="1">
      <x:c r="A16" s="12" t="str">
        <x:v>S11</x:v>
      </x:c>
      <x:c r="B16" s="12" t="str">
        <x:v>Mixage final</x:v>
      </x:c>
      <x:c r="C16" s="12" t="str">
        <x:v>Mesurer niveau intégré et pics sur sessions réelles.</x:v>
      </x:c>
      <x:c r="D16" s="12" t="str">
        <x:v>Mastering par plateforme</x:v>
      </x:c>
      <x:c r="E16" s="13" t="str">
        <x:v>Conçu — non implémenté</x:v>
      </x:c>
      <x:c r="F16" s="12" t="str">
        <x:v>Limiteur et contrôle dynamique</x:v>
      </x:c>
      <x:c r="G16" s="12" t="str">
        <x:v>Les cibles finales seront définies et mesurées, pas supposées.</x:v>
      </x:c>
    </x:row>
    <x:row r="17" ht="40" customHeight="1">
      <x:c r="A17" s="11" t="str">
        <x:v>S12</x:v>
      </x:c>
      <x:c r="B17" s="11" t="str">
        <x:v>Version confort</x:v>
      </x:c>
      <x:c r="C17" s="11" t="str">
        <x:v>Limiter sursauts audio et favoriser tension lente.</x:v>
      </x:c>
      <x:c r="D17" s="11" t="str">
        <x:v>Option de peur réduite</x:v>
      </x:c>
      <x:c r="E17" s="13" t="str">
        <x:v>Conçu — non implémenté</x:v>
      </x:c>
      <x:c r="F17" s="11" t="str">
        <x:v>Alternative textuelle et visuelle</x:v>
      </x:c>
      <x:c r="G17" s="11" t="str">
        <x:v>L’option ne doit pas supprimer les informations de diagnostic.</x:v>
      </x:c>
    </x:row>
    <x:row r="18" ht="40" customHeight="1">
      <x:c r="A18" s="12" t="str">
        <x:v>S13</x:v>
      </x:c>
      <x:c r="B18" s="12" t="str">
        <x:v>Étalonnage</x:v>
      </x:c>
      <x:c r="C18" s="12" t="str">
        <x:v>Trois sons courts connus, puis silence ; variante personnelle si anomalie radio.</x:v>
      </x:c>
      <x:c r="D18" s="12" t="str">
        <x:v>Oscillateurs et bruit synthétique</x:v>
      </x:c>
      <x:c r="E18" s="13" t="str">
        <x:v>Implémenté — QA partielle</x:v>
      </x:c>
      <x:c r="F18" s="12" t="str">
        <x:v>Transcription factuelle indépendante de l’audition</x:v>
      </x:c>
      <x:c r="G18" s="12" t="str">
        <x:v>Le bouton reste utile si le pair est muet ou le micro refusé.</x:v>
      </x:c>
    </x:row>
    <x:row r="19" ht="40" customHeight="1">
      <x:c r="A19" s="11" t="str">
        <x:v>S14</x:v>
      </x:c>
      <x:c r="B19" s="11" t="str">
        <x:v>Intelligibilité</x:v>
      </x:c>
      <x:c r="C19" s="11" t="str">
        <x:v>Mesurer compréhension de phrases brèves à deux puis quatre joueurs.</x:v>
      </x:c>
      <x:c r="D19" s="11" t="str">
        <x:v>Parcours de test humain</x:v>
      </x:c>
      <x:c r="E19" s="13" t="str">
        <x:v>À tester sur appareils</x:v>
      </x:c>
      <x:c r="F19" s="11" t="str">
        <x:v>Réduire ambiance et augmenter réception au besoin</x:v>
      </x:c>
      <x:c r="G19" s="11" t="str">
        <x:v>Aucun niveau cible de loudness certifié avant une mesure du signal réel.</x:v>
      </x:c>
    </x:row>
    <x:row r="20" ht="40" customHeight="1">
      <x:c r="A20" s="12" t="str">
        <x:v>S15</x:v>
      </x:c>
      <x:c r="B20" s="12" t="str">
        <x:v>Écho acoustique</x:v>
      </x:c>
      <x:c r="C20" s="12" t="str">
        <x:v>Tester casque, micro intégré et haut-parleurs séparément.</x:v>
      </x:c>
      <x:c r="D20" s="12" t="str">
        <x:v>Traitement navigateur + PTT</x:v>
      </x:c>
      <x:c r="E20" s="13" t="str">
        <x:v>À tester sur appareils</x:v>
      </x:c>
      <x:c r="F20" s="12" t="str">
        <x:v>Recommander le casque lorsque le retour acoustique gêne</x:v>
      </x:c>
      <x:c r="G20" s="12" t="str">
        <x:v>Un écho matériel ne doit jamais être traité comme preuve : l’étalonnage du jeu distingue le phénomène prévu.</x:v>
      </x:c>
    </x:row>
    <x:row r="21" ht="40" customHeight="1">
      <x:c r="A21" s="11" t="str">
        <x:v>S16</x:v>
      </x:c>
      <x:c r="B21" s="11" t="str">
        <x:v>Reprise audio</x:v>
      </x:c>
      <x:c r="C21" s="11" t="str">
        <x:v>Déverrouiller l’écoute par un geste utilisateur si le navigateur l’exige.</x:v>
      </x:c>
      <x:c r="D21" s="11" t="str">
        <x:v>AudioContext / lecture entrante</x:v>
      </x:c>
      <x:c r="E21" s="13" t="str">
        <x:v>Implémenté — QA partielle</x:v>
      </x:c>
      <x:c r="F21" s="11" t="str">
        <x:v>Bouton d’écoute et état clairement affichés</x:v>
      </x:c>
      <x:c r="G21" s="11" t="str">
        <x:v>Tester retour d’onglet, verrouillage mobile et reprise après appel système.</x:v>
      </x:c>
    </x:row>
    <x:row r="22" ht="40" customHeight="1">
      <x:c r="A22" s="12" t="str">
        <x:v>S17</x:v>
      </x:c>
      <x:c r="B22" s="12" t="str">
        <x:v>Dialogue fictionnel</x:v>
      </x:c>
      <x:c r="C22" s="12" t="str">
        <x:v>Écrire de futures voix de bâtiment indépendantes des joueurs.</x:v>
      </x:c>
      <x:c r="D22" s="12" t="str">
        <x:v>Texte et comédiens autorisés</x:v>
      </x:c>
      <x:c r="E22" s="13" t="str">
        <x:v>Conçu — non implémenté</x:v>
      </x:c>
      <x:c r="F22" s="12" t="str">
        <x:v>Sous-titres privés et volume narration</x:v>
      </x:c>
      <x:c r="G22" s="12" t="str">
        <x:v>Le message système et le vrai roster demeurent fiables ; pas d’imitation d’un partenaire réel.</x:v>
      </x:c>
    </x:row>
  </x:sheetData>
  <x:conditionalFormatting sqref="E6:E22">
    <x:cfRule type="containsText" dxfId="24" priority="1" operator="containsText" text="Bloqué"/>
    <x:cfRule type="containsText" dxfId="25" priority="2" operator="containsText" text="Validé"/>
    <x:cfRule type="containsText" dxfId="26" priority="3" operator="containsText" text="Réussi"/>
  </x:conditionalFormatting>
  <x:dataValidations count="1">
    <x:dataValidation type="list" sqref="E6:E22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69eebedf0b44f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3" hidden="0" customWidth="1"/>
    <x:col min="5" max="5" width="31" hidden="0" customWidth="1"/>
    <x:col min="6" max="6" width="55" hidden="0" customWidth="1"/>
    <x:col min="7" max="7" width="63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Commandes et accessibilité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Les commandes implémentées restent à vérifier sur périphériques physiques.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Action</x:v>
      </x:c>
      <x:c r="C5" s="10" t="str">
        <x:v>Support</x:v>
      </x:c>
      <x:c r="D5" s="10" t="str">
        <x:v>Commande</x:v>
      </x:c>
      <x:c r="E5" s="10" t="str">
        <x:v>Statut</x:v>
      </x:c>
      <x:c r="F5" s="10" t="str">
        <x:v>Résultat attendu</x:v>
      </x:c>
      <x:c r="G5" s="10" t="str">
        <x:v>Critère de confort</x:v>
      </x:c>
    </x:row>
    <x:row r="6" ht="40" customHeight="1">
      <x:c r="A6" s="12" t="str">
        <x:v>K01</x:v>
      </x:c>
      <x:c r="B6" s="12" t="str">
        <x:v>Se déplacer</x:v>
      </x:c>
      <x:c r="C6" s="12" t="str">
        <x:v>Clavier PC</x:v>
      </x:c>
      <x:c r="D6" s="12" t="str">
        <x:v>ZQSD / WASD</x:v>
      </x:c>
      <x:c r="E6" s="13" t="str">
        <x:v>Présent</x:v>
      </x:c>
      <x:c r="F6" s="12" t="str">
        <x:v>Marcher dans un espace 3D commun.</x:v>
      </x:c>
      <x:c r="G6" s="12" t="str">
        <x:v>Prendre en charge AZERTY et QWERTY.</x:v>
      </x:c>
    </x:row>
    <x:row r="7" ht="40" customHeight="1">
      <x:c r="A7" s="11" t="str">
        <x:v>K02</x:v>
      </x:c>
      <x:c r="B7" s="11" t="str">
        <x:v>Regarder</x:v>
      </x:c>
      <x:c r="C7" s="11" t="str">
        <x:v>Souris</x:v>
      </x:c>
      <x:c r="D7" s="11" t="str">
        <x:v>Mouvement de souris / glisser</x:v>
      </x:c>
      <x:c r="E7" s="13" t="str">
        <x:v>Présent</x:v>
      </x:c>
      <x:c r="F7" s="11" t="str">
        <x:v>Orienter la caméra et regarder plafond ou sol.</x:v>
      </x:c>
      <x:c r="G7" s="11" t="str">
        <x:v>Échapper au verrouillage avec Échap.</x:v>
      </x:c>
    </x:row>
    <x:row r="8" ht="40" customHeight="1">
      <x:c r="A8" s="12" t="str">
        <x:v>K03</x:v>
      </x:c>
      <x:c r="B8" s="12" t="str">
        <x:v>Accélérer</x:v>
      </x:c>
      <x:c r="C8" s="12" t="str">
        <x:v>Clavier PC</x:v>
      </x:c>
      <x:c r="D8" s="12" t="str">
        <x:v>Maj</x:v>
      </x:c>
      <x:c r="E8" s="13" t="str">
        <x:v>Implémenté — QA partielle</x:v>
      </x:c>
      <x:c r="F8" s="12" t="str">
        <x:v>Marcher plus vite si le confort ne coupe pas le sprint.</x:v>
      </x:c>
      <x:c r="G8" s="12" t="str">
        <x:v>Tester vitesse, collisions et main tenant la radio.</x:v>
      </x:c>
    </x:row>
    <x:row r="9" ht="40" customHeight="1">
      <x:c r="A9" s="11" t="str">
        <x:v>K04</x:v>
      </x:c>
      <x:c r="B9" s="11" t="str">
        <x:v>Interagir / repérer</x:v>
      </x:c>
      <x:c r="C9" s="11" t="str">
        <x:v>Clavier PC</x:v>
      </x:c>
      <x:c r="D9" s="11" t="str">
        <x:v>E</x:v>
      </x:c>
      <x:c r="E9" s="13" t="str">
        <x:v>Implémenté — QA partielle</x:v>
      </x:c>
      <x:c r="F9" s="11" t="str">
        <x:v>Désigner un repère au centre de la vue.</x:v>
      </x:c>
      <x:c r="G9" s="11" t="str">
        <x:v>Le nom de l’objet reste stable même si l’objet est invisible dans une perception.</x:v>
      </x:c>
    </x:row>
    <x:row r="10" ht="40" customHeight="1">
      <x:c r="A10" s="12" t="str">
        <x:v>K05</x:v>
      </x:c>
      <x:c r="B10" s="12" t="str">
        <x:v>Lampe</x:v>
      </x:c>
      <x:c r="C10" s="12" t="str">
        <x:v>Clavier / bouton</x:v>
      </x:c>
      <x:c r="D10" s="12" t="str">
        <x:v>F</x:v>
      </x:c>
      <x:c r="E10" s="13" t="str">
        <x:v>Présent</x:v>
      </x:c>
      <x:c r="F10" s="12" t="str">
        <x:v>Éclairer personnellement les surfaces.</x:v>
      </x:c>
      <x:c r="G10" s="12" t="str">
        <x:v>La lampe ne répare pas une anomalie d’éclairage.</x:v>
      </x:c>
    </x:row>
    <x:row r="11" ht="40" customHeight="1">
      <x:c r="A11" s="11" t="str">
        <x:v>K06</x:v>
      </x:c>
      <x:c r="B11" s="11" t="str">
        <x:v>Voter</x:v>
      </x:c>
      <x:c r="C11" s="11" t="str">
        <x:v>Clavier / interface</x:v>
      </x:c>
      <x:c r="D11" s="11" t="str">
        <x:v>V puis Anomalie / Conforme</x:v>
      </x:c>
      <x:c r="E11" s="13" t="str">
        <x:v>Présent</x:v>
      </x:c>
      <x:c r="F11" s="11" t="str">
        <x:v>Choisir le diagnostic, réviser en cas de désaccord.</x:v>
      </x:c>
      <x:c r="G11" s="11" t="str">
        <x:v>Décision uniquement validée après accord et réponse autoritaire.</x:v>
      </x:c>
    </x:row>
    <x:row r="12" ht="40" customHeight="1">
      <x:c r="A12" s="12" t="str">
        <x:v>K07</x:v>
      </x:c>
      <x:c r="B12" s="12" t="str">
        <x:v>Comparer A/B</x:v>
      </x:c>
      <x:c r="C12" s="12" t="str">
        <x:v>Entraînement solo</x:v>
      </x:c>
      <x:c r="D12" s="12" t="str">
        <x:v>Tab</x:v>
      </x:c>
      <x:c r="E12" s="13" t="str">
        <x:v>Présent</x:v>
      </x:c>
      <x:c r="F12" s="12" t="str">
        <x:v>Passer d’une perception à l’autre.</x:v>
      </x:c>
      <x:c r="G12" s="12" t="str">
        <x:v>Fonction interdite dans une salle coopérative.</x:v>
      </x:c>
    </x:row>
    <x:row r="13" ht="40" customHeight="1">
      <x:c r="A13" s="11" t="str">
        <x:v>K08</x:v>
      </x:c>
      <x:c r="B13" s="11" t="str">
        <x:v>Radio texte</x:v>
      </x:c>
      <x:c r="C13" s="11" t="str">
        <x:v>Interface</x:v>
      </x:c>
      <x:c r="D13" s="11" t="str">
        <x:v>Champ de message</x:v>
      </x:c>
      <x:c r="E13" s="13" t="str">
        <x:v>Présent</x:v>
      </x:c>
      <x:c r="F13" s="11" t="str">
        <x:v>Communiquer un repère et une description.</x:v>
      </x:c>
      <x:c r="G13" s="11" t="str">
        <x:v>Navigation clavier et texte échappé.</x:v>
      </x:c>
    </x:row>
    <x:row r="14" ht="40" customHeight="1">
      <x:c r="A14" s="12" t="str">
        <x:v>K09</x:v>
      </x:c>
      <x:c r="B14" s="12" t="str">
        <x:v>Pause</x:v>
      </x:c>
      <x:c r="C14" s="12" t="str">
        <x:v>Clavier</x:v>
      </x:c>
      <x:c r="D14" s="12" t="str">
        <x:v>Échap</x:v>
      </x:c>
      <x:c r="E14" s="13" t="str">
        <x:v>Implémenté — QA partielle</x:v>
      </x:c>
      <x:c r="F14" s="12" t="str">
        <x:v>Libérer la souris et ouvrir les options.</x:v>
      </x:c>
      <x:c r="G14" s="12" t="str">
        <x:v>La pause locale ne fige pas les membres d’une salle en ligne ; couper l’émission au relâchement.</x:v>
      </x:c>
    </x:row>
    <x:row r="15" ht="40" customHeight="1">
      <x:c r="A15" s="11" t="str">
        <x:v>K10</x:v>
      </x:c>
      <x:c r="B15" s="11" t="str">
        <x:v>Tactile</x:v>
      </x:c>
      <x:c r="C15" s="11" t="str">
        <x:v>Écran mobile</x:v>
      </x:c>
      <x:c r="D15" s="11" t="str">
        <x:v>Joystick gauche ; glisser à droite ; boutons de jeu et talkie</x:v>
      </x:c>
      <x:c r="E15" s="13" t="str">
        <x:v>Implémenté — QA partielle</x:v>
      </x:c>
      <x:c r="F15" s="11" t="str">
        <x:v>Déplacement, regard, vote et émission sans clavier.</x:v>
      </x:c>
      <x:c r="G15" s="11" t="str">
        <x:v>Vrais appareils à tester : multitouch, paysage, zones sûres et relâchement hors bouton.</x:v>
      </x:c>
    </x:row>
    <x:row r="16" ht="40" customHeight="1">
      <x:c r="A16" s="12" t="str">
        <x:v>K11</x:v>
      </x:c>
      <x:c r="B16" s="12" t="str">
        <x:v>Qualité</x:v>
      </x:c>
      <x:c r="C16" s="12" t="str">
        <x:v>Réglages</x:v>
      </x:c>
      <x:c r="D16" s="12" t="str">
        <x:v>Bas / Moyen / Haut</x:v>
      </x:c>
      <x:c r="E16" s="13" t="str">
        <x:v>À vérifier</x:v>
      </x:c>
      <x:c r="F16" s="12" t="str">
        <x:v>Adapter résolution et coût du rendu.</x:v>
      </x:c>
      <x:c r="G16" s="12" t="str">
        <x:v>Aucun indice d’anomalie ne doit dépendre d’une qualité exclusive.</x:v>
      </x:c>
    </x:row>
    <x:row r="17" ht="40" customHeight="1">
      <x:c r="A17" s="11" t="str">
        <x:v>K12</x:v>
      </x:c>
      <x:c r="B17" s="11" t="str">
        <x:v>Sensibilité</x:v>
      </x:c>
      <x:c r="C17" s="11" t="str">
        <x:v>Réglages</x:v>
      </x:c>
      <x:c r="D17" s="11" t="str">
        <x:v>Curseur de sensibilité</x:v>
      </x:c>
      <x:c r="E17" s="13" t="str">
        <x:v>À vérifier</x:v>
      </x:c>
      <x:c r="F17" s="11" t="str">
        <x:v>Adapter les mouvements de caméra.</x:v>
      </x:c>
      <x:c r="G17" s="11" t="str">
        <x:v>Bornes permettant une rotation complète sans à-coup.</x:v>
      </x:c>
    </x:row>
    <x:row r="18" ht="40" customHeight="1">
      <x:c r="A18" s="12" t="str">
        <x:v>K13</x:v>
      </x:c>
      <x:c r="B18" s="12" t="str">
        <x:v>Plein écran</x:v>
      </x:c>
      <x:c r="C18" s="12" t="str">
        <x:v>Interface</x:v>
      </x:c>
      <x:c r="D18" s="12" t="str">
        <x:v>Bouton plein écran</x:v>
      </x:c>
      <x:c r="E18" s="13" t="str">
        <x:v>À vérifier</x:v>
      </x:c>
      <x:c r="F18" s="12" t="str">
        <x:v>Faire occuper l’écran au jeu.</x:v>
      </x:c>
      <x:c r="G18" s="12" t="str">
        <x:v>L’action dépend des capacités du navigateur.</x:v>
      </x:c>
    </x:row>
    <x:row r="19" ht="40" customHeight="1">
      <x:c r="A19" s="11" t="str">
        <x:v>K14</x:v>
      </x:c>
      <x:c r="B19" s="11" t="str">
        <x:v>Options de confort</x:v>
      </x:c>
      <x:c r="C19" s="11" t="str">
        <x:v>Réglages actuels et futurs</x:v>
      </x:c>
      <x:c r="D19" s="11" t="str">
        <x:v>Animation UI réduite, sprint coupé ; FOV et remappage prévus</x:v>
      </x:c>
      <x:c r="E19" s="13" t="str">
        <x:v>Partiel</x:v>
      </x:c>
      <x:c r="F19" s="11" t="str">
        <x:v>Le réglage actuel réduit les animations de l’interface et désactive le sprint.</x:v>
      </x:c>
      <x:c r="G19" s="11" t="str">
        <x:v>FOV réglable et remappage complet restent à produire.</x:v>
      </x:c>
    </x:row>
    <x:row r="20" ht="40" customHeight="1">
      <x:c r="A20" s="12" t="str">
        <x:v>K15</x:v>
      </x:c>
      <x:c r="B20" s="12" t="str">
        <x:v>Manette</x:v>
      </x:c>
      <x:c r="C20" s="12" t="str">
        <x:v>PC</x:v>
      </x:c>
      <x:c r="D20" s="12" t="str">
        <x:v>Sticks ; A interaction, X vote, Y lampe, LB talkie, View carnet, Menu pause</x:v>
      </x:c>
      <x:c r="E20" s="13" t="str">
        <x:v>Implémenté — QA partielle</x:v>
      </x:c>
      <x:c r="F20" s="12" t="str">
        <x:v>Actions de jeu reliées aux boutons ; les menus utilisent encore l’interface.</x:v>
      </x:c>
      <x:c r="G20" s="12" t="str">
        <x:v>La prise en charge annoncée ne vaut pas navigation intégrale des menus au contrôleur.</x:v>
      </x:c>
    </x:row>
    <x:row r="21" ht="40" customHeight="1">
      <x:c r="A21" s="11" t="str">
        <x:v>K16</x:v>
      </x:c>
      <x:c r="B21" s="11" t="str">
        <x:v>Relevé radio</x:v>
      </x:c>
      <x:c r="C21" s="11" t="str">
        <x:v>Étalonnage</x:v>
      </x:c>
      <x:c r="D21" s="11" t="str">
        <x:v>Bouton Étalonner puis texte privé</x:v>
      </x:c>
      <x:c r="E21" s="13" t="str">
        <x:v>Implémenté — QA partielle</x:v>
      </x:c>
      <x:c r="F21" s="11" t="str">
        <x:v>Décrire rythme, répétition, coupure ou code reçu sans audition.</x:v>
      </x:c>
      <x:c r="G21" s="11" t="str">
        <x:v>Le relevé donne les faits observés ; le joueur conserve le choix de diagnostic.</x:v>
      </x:c>
    </x:row>
    <x:row r="22" ht="40" customHeight="1">
      <x:c r="A22" s="12" t="str">
        <x:v>K17</x:v>
      </x:c>
      <x:c r="B22" s="12" t="str">
        <x:v>Carnet</x:v>
      </x:c>
      <x:c r="C22" s="12" t="str">
        <x:v>Clavier / interface</x:v>
      </x:c>
      <x:c r="D22" s="12" t="str">
        <x:v>J</x:v>
      </x:c>
      <x:c r="E22" s="13" t="str">
        <x:v>Présent</x:v>
      </x:c>
      <x:c r="F22" s="12" t="str">
        <x:v>Consulter la référence et les notes de repères.</x:v>
      </x:c>
      <x:c r="G22" s="12" t="str">
        <x:v>Les données d’un autre observateur ne doivent pas être dévoilées automatiquement.</x:v>
      </x:c>
    </x:row>
    <x:row r="23" ht="40" customHeight="1">
      <x:c r="A23" s="11" t="str">
        <x:v>K18</x:v>
      </x:c>
      <x:c r="B23" s="11" t="str">
        <x:v>Ouvrir le microphone</x:v>
      </x:c>
      <x:c r="C23" s="11" t="str">
        <x:v>Panneau radio</x:v>
      </x:c>
      <x:c r="D23" s="11" t="str">
        <x:v>Activer le micro, puis autorisation du navigateur</x:v>
      </x:c>
      <x:c r="E23" s="13" t="str">
        <x:v>Implémenté — QA partielle</x:v>
      </x:c>
      <x:c r="F23" s="11" t="str">
        <x:v>Ouvrir une piste audio seulement après cette action explicite.</x:v>
      </x:c>
      <x:c r="G23" s="11" t="str">
        <x:v>Refus possible ; l’écoute, le chat et la calibration demeurent disponibles.</x:v>
      </x:c>
    </x:row>
    <x:row r="24" ht="40" customHeight="1">
      <x:c r="A24" s="12" t="str">
        <x:v>K19</x:v>
      </x:c>
      <x:c r="B24" s="12" t="str">
        <x:v>Émettre</x:v>
      </x:c>
      <x:c r="C24" s="12" t="str">
        <x:v>Clavier / tactile / manette</x:v>
      </x:c>
      <x:c r="D24" s="12" t="str">
        <x:v>T maintenu / bouton talkie maintenu / LB maintenu</x:v>
      </x:c>
      <x:c r="E24" s="13" t="str">
        <x:v>Implémenté — QA partielle</x:v>
      </x:c>
      <x:c r="F24" s="12" t="str">
        <x:v>Transmettre tant que la commande est maintenue et le micro autorisé.</x:v>
      </x:c>
      <x:c r="G24" s="12" t="str">
        <x:v>Couper à keyup, relâchement tactile, perte de focus ou sortie de salle.</x:v>
      </x:c>
    </x:row>
    <x:row r="25" ht="40" customHeight="1">
      <x:c r="A25" s="11" t="str">
        <x:v>K20</x:v>
      </x:c>
      <x:c r="B25" s="11" t="str">
        <x:v>Écouter sans parler</x:v>
      </x:c>
      <x:c r="C25" s="11" t="str">
        <x:v>Panneau radio</x:v>
      </x:c>
      <x:c r="D25" s="11" t="str">
        <x:v>Activer l’écoute</x:v>
      </x:c>
      <x:c r="E25" s="13" t="str">
        <x:v>Implémenté — QA partielle</x:v>
      </x:c>
      <x:c r="F25" s="11" t="str">
        <x:v>Recevoir les partenaires sans autoriser son propre microphone.</x:v>
      </x:c>
      <x:c r="G25" s="11" t="str">
        <x:v>Le navigateur peut exiger un geste pour démarrer l’audio.</x:v>
      </x:c>
    </x:row>
    <x:row r="26" ht="40" customHeight="1">
      <x:c r="A26" s="12" t="str">
        <x:v>K21</x:v>
      </x:c>
      <x:c r="B26" s="12" t="str">
        <x:v>Réception</x:v>
      </x:c>
      <x:c r="C26" s="12" t="str">
        <x:v>Réglages radio</x:v>
      </x:c>
      <x:c r="D26" s="12" t="str">
        <x:v>Volume et coupure</x:v>
      </x:c>
      <x:c r="E26" s="13" t="str">
        <x:v>Implémenté — QA partielle</x:v>
      </x:c>
      <x:c r="F26" s="12" t="str">
        <x:v>Adapter le son sans changer la vérité du passage.</x:v>
      </x:c>
      <x:c r="G26" s="12" t="str">
        <x:v>La calibration écrite reste disponible à volume nul.</x:v>
      </x:c>
    </x:row>
    <x:row r="27" ht="40" customHeight="1">
      <x:c r="A27" s="11" t="str">
        <x:v>K22</x:v>
      </x:c>
      <x:c r="B27" s="11" t="str">
        <x:v>Lisibilité du catalogue</x:v>
      </x:c>
      <x:c r="C27" s="11" t="str">
        <x:v>Carnet et Excel</x:v>
      </x:c>
      <x:c r="D27" s="11" t="str">
        <x:v>Repères et textes lisibles ; ID moteur stable</x:v>
      </x:c>
      <x:c r="E27" s="13" t="str">
        <x:v>Implémenté — QA partielle</x:v>
      </x:c>
      <x:c r="F27" s="11" t="str">
        <x:v>Retrouver une preuve sans mémoriser un terme technique.</x:v>
      </x:c>
      <x:c r="G27" s="11" t="str">
        <x:v>Éviter de livrer au joueur le code d’effet avant le débrief.</x:v>
      </x:c>
    </x:row>
    <x:row r="28" ht="40" customHeight="1">
      <x:c r="A28" s="12" t="str">
        <x:v>K23</x:v>
      </x:c>
      <x:c r="B28" s="12" t="str">
        <x:v>Remappage complet</x:v>
      </x:c>
      <x:c r="C28" s="12" t="str">
        <x:v>Réglages futurs</x:v>
      </x:c>
      <x:c r="D28" s="12" t="str">
        <x:v>Choix libre des touches et des boutons</x:v>
      </x:c>
      <x:c r="E28" s="13" t="str">
        <x:v>Conçu — non implémenté</x:v>
      </x:c>
      <x:c r="F28" s="12" t="str">
        <x:v>Adapter les commandes à différents besoins moteurs.</x:v>
      </x:c>
      <x:c r="G28" s="12" t="str">
        <x:v>Enregistrer les choix, détecter conflits et prévoir réinitialisation.</x:v>
      </x:c>
    </x:row>
    <x:row r="29" ht="40" customHeight="1">
      <x:c r="A29" s="11" t="str">
        <x:v>K24</x:v>
      </x:c>
      <x:c r="B29" s="11" t="str">
        <x:v>Confort visuel avancé</x:v>
      </x:c>
      <x:c r="C29" s="11" t="str">
        <x:v>Réglages futurs</x:v>
      </x:c>
      <x:c r="D29" s="11" t="str">
        <x:v>FOV, bobbing, contraste, taille UI et intensité des effets</x:v>
      </x:c>
      <x:c r="E29" s="13" t="str">
        <x:v>Conçu — non implémenté</x:v>
      </x:c>
      <x:c r="F29" s="11" t="str">
        <x:v>Réduire gêne et fatigue en conservant les preuves.</x:v>
      </x:c>
      <x:c r="G29" s="11" t="str">
        <x:v>Vérifier les anomalies de mouvement et de lumière dans chaque option.</x:v>
      </x:c>
    </x:row>
  </x:sheetData>
  <x:conditionalFormatting sqref="E6:E29">
    <x:cfRule type="containsText" dxfId="27" priority="1" operator="containsText" text="Bloqué"/>
    <x:cfRule type="containsText" dxfId="28" priority="2" operator="containsText" text="Validé"/>
    <x:cfRule type="containsText" dxfId="29" priority="3" operator="containsText" text="Réussi"/>
  </x:conditionalFormatting>
  <x:dataValidations count="1">
    <x:dataValidation type="list" sqref="E6:E29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0b77c14b7242b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64" hidden="0" customWidth="1"/>
    <x:col min="4" max="4" width="63" hidden="0" customWidth="1"/>
    <x:col min="5" max="5" width="34" hidden="0" customWidth="1"/>
    <x:col min="6" max="6" width="31" hidden="0" customWidth="1"/>
    <x:col min="7" max="7" width="61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Univers, progression et fins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Fiction originale. Les fins jouables et les scènes futures sont distinguées.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Élément</x:v>
      </x:c>
      <x:c r="C5" s="10" t="str">
        <x:v>Contenu</x:v>
      </x:c>
      <x:c r="D5" s="10" t="str">
        <x:v>Sens pour le joueur</x:v>
      </x:c>
      <x:c r="E5" s="10" t="str">
        <x:v>Support</x:v>
      </x:c>
      <x:c r="F5" s="10" t="str">
        <x:v>Statut</x:v>
      </x:c>
      <x:c r="G5" s="10" t="str">
        <x:v>Consigne d’écriture</x:v>
      </x:c>
    </x:row>
    <x:row r="6" ht="40" customHeight="1">
      <x:c r="A6" s="12" t="str">
        <x:v>N01</x:v>
      </x:c>
      <x:c r="B6" s="12" t="str">
        <x:v>Prémisse</x:v>
      </x:c>
      <x:c r="C6" s="12" t="str">
        <x:v>Des inspecteurs traversent un hôtel, une station vide et une aile clinique dont les versions divergent.</x:v>
      </x:c>
      <x:c r="D6" s="12" t="str">
        <x:v>Le protocole compare les témoins au lieu de décider lequel doit être cru.</x:v>
      </x:c>
      <x:c r="E6" s="12" t="str">
        <x:v>Menu, références et niveaux</x:v>
      </x:c>
      <x:c r="F6" s="13" t="str">
        <x:v>Implémenté — QA partielle</x:v>
      </x:c>
      <x:c r="G6" s="12" t="str">
        <x:v>Les personnages restent ordinaires et désarmés. La coopération vient d’une méthode d’observation.</x:v>
      </x:c>
    </x:row>
    <x:row r="7" ht="40" customHeight="1">
      <x:c r="A7" s="11" t="str">
        <x:v>N02</x:v>
      </x:c>
      <x:c r="B7" s="11" t="str">
        <x:v>Mandat</x:v>
      </x:c>
      <x:c r="C7" s="11" t="str">
        <x:v>Valider trois inspections dans chacun des trois secteurs pour obtenir neuf preuves de concordance.</x:v>
      </x:c>
      <x:c r="D7" s="11" t="str">
        <x:v>L’équipe peut reprendre le secteur en cours sans effacer ceux déjà certifiés.</x:v>
      </x:c>
      <x:c r="E7" s="11" t="str">
        <x:v>Campagne ; mode lieu unique alternatif</x:v>
      </x:c>
      <x:c r="F7" s="13" t="str">
        <x:v>Implémenté — QA partielle</x:v>
      </x:c>
      <x:c r="G7" s="11" t="str">
        <x:v>Le lieu unique conserve une série de neuf. Présenter clairement le mode choisi.</x:v>
      </x:c>
    </x:row>
    <x:row r="8" ht="40" customHeight="1">
      <x:c r="A8" s="12" t="str">
        <x:v>N03</x:v>
      </x:c>
      <x:c r="B8" s="12" t="str">
        <x:v>Règle de confiance</x:v>
      </x:c>
      <x:c r="C8" s="12" t="str">
        <x:v>Un joueur voit une menace tandis qu’un autre ne voit rien. Les deux témoignages peuvent être sincères.</x:v>
      </x:c>
      <x:c r="D8" s="12" t="str">
        <x:v>Ne pas traiter un témoin isolé comme menteur.</x:v>
      </x:c>
      <x:c r="E8" s="12" t="str">
        <x:v>Distribution des vues</x:v>
      </x:c>
      <x:c r="F8" s="13" t="str">
        <x:v>Présent</x:v>
      </x:c>
      <x:c r="G8" s="12" t="str">
        <x:v>Éviter une mécanique qui punit socialement une personne sans preuve.</x:v>
      </x:c>
    </x:row>
    <x:row r="9" ht="40" customHeight="1">
      <x:c r="A9" s="11" t="str">
        <x:v>N04</x:v>
      </x:c>
      <x:c r="B9" s="11" t="str">
        <x:v>Le relais</x:v>
      </x:c>
      <x:c r="C9" s="11" t="str">
        <x:v>RELAIS, flèche et heure SYNCHRO sont ordinaires seuls, mais doivent correspondre entre inspecteurs.</x:v>
      </x:c>
      <x:c r="D9" s="11" t="str">
        <x:v>Ce qui manque n’est pas toujours une image. Cela peut être un accord entre deux vérités.</x:v>
      </x:c>
      <x:c r="E9" s="11" t="str">
        <x:v>relay_mismatch, paired_arrow, paired_clock</x:v>
      </x:c>
      <x:c r="F9" s="13" t="str">
        <x:v>Présent</x:v>
      </x:c>
      <x:c r="G9" s="11" t="str">
        <x:v>Valeurs variables entre passages ; égalité entre témoins dans un même passage enseignée pendant la référence.</x:v>
      </x:c>
    </x:row>
    <x:row r="10" ht="40" customHeight="1">
      <x:c r="A10" s="12" t="str">
        <x:v>N05</x:v>
      </x:c>
      <x:c r="B10" s="12" t="str">
        <x:v>Victoire actuelle</x:v>
      </x:c>
      <x:c r="C10" s="12" t="str">
        <x:v>Le protocole valide le neuvième diagnostic et affiche le bilan de l’équipe.</x:v>
      </x:c>
      <x:c r="D10" s="12" t="str">
        <x:v>Les observations ont convergé malgré des perceptions incompatibles.</x:v>
      </x:c>
      <x:c r="E10" s="12" t="str">
        <x:v>Écran de fin</x:v>
      </x:c>
      <x:c r="F10" s="13" t="str">
        <x:v>Implémenté — QA partielle</x:v>
      </x:c>
      <x:c r="G10" s="12" t="str">
        <x:v>Le bilan actuel ne vaut pas réalisation des trois cinématiques proposées ci-dessous.</x:v>
      </x:c>
    </x:row>
    <x:row r="11" ht="40" customHeight="1">
      <x:c r="A11" s="11" t="str">
        <x:v>N06</x:v>
      </x:c>
      <x:c r="B11" s="11" t="str">
        <x:v>Échec actuel</x:v>
      </x:c>
      <x:c r="C11" s="11" t="str">
        <x:v>Trois erreurs épuisent la tolérance du protocole standard.</x:v>
      </x:c>
      <x:c r="D11" s="11" t="str">
        <x:v>La partie peut être recommencée avec de nouveaux tirages.</x:v>
      </x:c>
      <x:c r="E11" s="11" t="str">
        <x:v>Écran de fin</x:v>
      </x:c>
      <x:c r="F11" s="13" t="str">
        <x:v>Présent</x:v>
      </x:c>
      <x:c r="G11" s="11" t="str">
        <x:v>Le mode détendu conserve les erreurs sans couper la session.</x:v>
      </x:c>
    </x:row>
    <x:row r="12" ht="40" customHeight="1">
      <x:c r="A12" s="12" t="str">
        <x:v>N07</x:v>
      </x:c>
      <x:c r="B12" s="12" t="str">
        <x:v>Fin Concordance</x:v>
      </x:c>
      <x:c r="C12" s="12" t="str">
        <x:v>Après victoire future sans fracture de confiance, l’équipe rejoint une salle éclairée au matin.</x:v>
      </x:c>
      <x:c r="D12" s="12" t="str">
        <x:v>Les dossiers confirment que personne ne voyait la totalité du lieu.</x:v>
      </x:c>
      <x:c r="E12" s="12" t="str">
        <x:v>Cinématique et salle finale</x:v>
      </x:c>
      <x:c r="F12" s="13" t="str">
        <x:v>Conçu — non implémenté</x:v>
      </x:c>
      <x:c r="G12" s="12" t="str">
        <x:v>Plans distincts des écrans d’introduction.</x:v>
      </x:c>
    </x:row>
    <x:row r="13" ht="40" customHeight="1">
      <x:c r="A13" s="11" t="str">
        <x:v>N08</x:v>
      </x:c>
      <x:c r="B13" s="11" t="str">
        <x:v>Fin Dossier 09</x:v>
      </x:c>
      <x:c r="C13" s="11" t="str">
        <x:v>Après collecte future de témoignages, des fiches décrivent une équipe précédente dans le même ordre.</x:v>
      </x:c>
      <x:c r="D13" s="11" t="str">
        <x:v>Le protocole se transmet, le bâtiment se souvient des méthodes.</x:v>
      </x:c>
      <x:c r="E13" s="11" t="str">
        <x:v>Dossiers et scène d’archives</x:v>
      </x:c>
      <x:c r="F13" s="13" t="str">
        <x:v>Conçu — non implémenté</x:v>
      </x:c>
      <x:c r="G13" s="11" t="str">
        <x:v>Ne pas conditionner la vérité uniquement à un score caché opaque.</x:v>
      </x:c>
    </x:row>
    <x:row r="14" ht="40" customHeight="1">
      <x:c r="A14" s="12" t="str">
        <x:v>N09</x:v>
      </x:c>
      <x:c r="B14" s="12" t="str">
        <x:v>Fin Dernier témoin</x:v>
      </x:c>
      <x:c r="C14" s="12" t="str">
        <x:v>Une issue future révèle que la cabine de contrôle contient les objets décrits par chaque joueur.</x:v>
      </x:c>
      <x:c r="D14" s="12" t="str">
        <x:v>Les versions personnelles avaient toutes une existence partielle.</x:v>
      </x:c>
      <x:c r="E14" s="12" t="str">
        <x:v>Scène alternative</x:v>
      </x:c>
      <x:c r="F14" s="13" t="str">
        <x:v>Conçu — non implémenté</x:v>
      </x:c>
      <x:c r="G14" s="12" t="str">
        <x:v>L’équipe doit rester réunie au dénouement coopératif.</x:v>
      </x:c>
    </x:row>
    <x:row r="15" ht="40" customHeight="1">
      <x:c r="A15" s="11" t="str">
        <x:v>N10</x:v>
      </x:c>
      <x:c r="B15" s="11" t="str">
        <x:v>Fragments narratifs</x:v>
      </x:c>
      <x:c r="C15" s="11" t="str">
        <x:v>Documents du personnel, relevés météo, archives de sorties, fiches de conformité.</x:v>
      </x:c>
      <x:c r="D15" s="11" t="str">
        <x:v>Révéler progressivement les règles sans expliquer chaque apparition.</x:v>
      </x:c>
      <x:c r="E15" s="11" t="str">
        <x:v>Collectibles futurs</x:v>
      </x:c>
      <x:c r="F15" s="13" t="str">
        <x:v>Conçu — non implémenté</x:v>
      </x:c>
      <x:c r="G15" s="11" t="str">
        <x:v>Chaque texte doit être court, spécifique et relisible après la session.</x:v>
      </x:c>
    </x:row>
    <x:row r="16" ht="40" customHeight="1">
      <x:c r="A16" s="12" t="str">
        <x:v>N11</x:v>
      </x:c>
      <x:c r="B16" s="12" t="str">
        <x:v>Antagonisme</x:v>
      </x:c>
      <x:c r="C16" s="12" t="str">
        <x:v>Le lieu suggère de ne pas croire les autres, mais la mécanique récompense la vérification mutuelle.</x:v>
      </x:c>
      <x:c r="D16" s="12" t="str">
        <x:v>L’horreur vient de la contradiction du décor et du besoin de confiance.</x:v>
      </x:c>
      <x:c r="E16" s="12" t="str">
        <x:v>Messages muraux et extensions</x:v>
      </x:c>
      <x:c r="F16" s="13" t="str">
        <x:v>Partiel</x:v>
      </x:c>
      <x:c r="G16" s="12" t="str">
        <x:v>Aucun joueur n’est secrètement sabotant dans le mode de base.</x:v>
      </x:c>
    </x:row>
    <x:row r="17" ht="40" customHeight="1">
      <x:c r="A17" s="11" t="str">
        <x:v>N12</x:v>
      </x:c>
      <x:c r="B17" s="11" t="str">
        <x:v>Campagne de trois lieux</x:v>
      </x:c>
      <x:c r="C17" s="11" t="str">
        <x:v>Saint-Clair → Terminus 09 → Aile blanche ; référence neuve à chaque passage de secteur.</x:v>
      </x:c>
      <x:c r="D17" s="11" t="str">
        <x:v>Objet immobile, signal et corps réfléchi élargissent les formes de preuve.</x:v>
      </x:c>
      <x:c r="E17" s="11" t="str">
        <x:v>Campagne 3 × 3</x:v>
      </x:c>
      <x:c r="F17" s="13" t="str">
        <x:v>Implémenté — QA partielle</x:v>
      </x:c>
      <x:c r="G17" s="11" t="str">
        <x:v>Le chalet, l’observatoire, les archives et l’enquête persistante restent des extensions.</x:v>
      </x:c>
    </x:row>
    <x:row r="18" ht="40" customHeight="1">
      <x:c r="A18" s="12" t="str">
        <x:v>N13</x:v>
      </x:c>
      <x:c r="B18" s="12" t="str">
        <x:v>Saint-Clair</x:v>
      </x:c>
      <x:c r="C18" s="12" t="str">
        <x:v>L’hôtel sans neuvième étage. Les portes portent pourtant les numéros 901 à 904.</x:v>
      </x:c>
      <x:c r="D18" s="12" t="str">
        <x:v>Un espace familier crée la première contradiction.</x:v>
      </x:c>
      <x:c r="E18" s="12" t="str">
        <x:v>Nom et sous-titre du lieu</x:v>
      </x:c>
      <x:c r="F18" s="13" t="str">
        <x:v>Implémenté — QA partielle</x:v>
      </x:c>
      <x:c r="G18" s="12" t="str">
        <x:v>Ne pas confondre cette prémisse avec une preuve automatique à chaque tour.</x:v>
      </x:c>
    </x:row>
    <x:row r="19" ht="40" customHeight="1">
      <x:c r="A19" s="11" t="str">
        <x:v>N14</x:v>
      </x:c>
      <x:c r="B19" s="11" t="str">
        <x:v>Terminus 09</x:v>
      </x:c>
      <x:c r="C19" s="11" t="str">
        <x:v>Le dernier quai. Le service est terminé et le quai doit rester vide.</x:v>
      </x:c>
      <x:c r="D19" s="11" t="str">
        <x:v>Une présence qui arrive après la fermeture devient un fait vérifiable.</x:v>
      </x:c>
      <x:c r="E19" s="11" t="str">
        <x:v>Nom, panneau et architecture</x:v>
      </x:c>
      <x:c r="F19" s="13" t="str">
        <x:v>Implémenté — QA partielle</x:v>
      </x:c>
      <x:c r="G19" s="11" t="str">
        <x:v>QUAI 09 / SERVICE TERMINÉ est la référence, pas une anomalie.</x:v>
      </x:c>
    </x:row>
    <x:row r="20" ht="40" customHeight="1">
      <x:c r="A20" s="12" t="str">
        <x:v>N15</x:v>
      </x:c>
      <x:c r="B20" s="12" t="str">
        <x:v>Aile blanche</x:v>
      </x:c>
      <x:c r="C20" s="12" t="str">
        <x:v>La clinique de nuit. Un lit, un rythme régulier et un écran sans patient.</x:v>
      </x:c>
      <x:c r="D20" s="12" t="str">
        <x:v>Le soin est absent mais les objets semblent attendre quelqu’un.</x:v>
      </x:c>
      <x:c r="E20" s="12" t="str">
        <x:v>Nom, moniteur et décor</x:v>
      </x:c>
      <x:c r="F20" s="13" t="str">
        <x:v>Implémenté — QA partielle</x:v>
      </x:c>
      <x:c r="G20" s="12" t="str">
        <x:v>Horreur d’absence ; aucune représentation graphique de blessure nécessaire.</x:v>
      </x:c>
    </x:row>
    <x:row r="21" ht="40" customHeight="1">
      <x:c r="A21" s="11" t="str">
        <x:v>N16</x:v>
      </x:c>
      <x:c r="B21" s="11" t="str">
        <x:v>Parler pour vérifier</x:v>
      </x:c>
      <x:c r="C21" s="11" t="str">
        <x:v>Le talkie permet de demander : où es-tu, que lis-tu, que fait ton reflet ?</x:v>
      </x:c>
      <x:c r="D21" s="11" t="str">
        <x:v>La réponse utile est précise, courte et vérifiable.</x:v>
      </x:c>
      <x:c r="E21" s="11" t="str">
        <x:v>Voix, texte, calibration</x:v>
      </x:c>
      <x:c r="F21" s="13" t="str">
        <x:v>Implémenté — QA partielle</x:v>
      </x:c>
      <x:c r="G21" s="11" t="str">
        <x:v>La mécanique ne récompense pas le mensonge entre joueurs ; les voix ne sont pas clonées.</x:v>
      </x:c>
    </x:row>
    <x:row r="22" ht="40" customHeight="1">
      <x:c r="A22" s="12" t="str">
        <x:v>N17</x:v>
      </x:c>
      <x:c r="B22" s="12" t="str">
        <x:v>Corps incertain</x:v>
      </x:c>
      <x:c r="C22" s="12" t="str">
        <x:v>Un salut que personne n’a fait, une présence en trop ou un corps absent du miroir.</x:v>
      </x:c>
      <x:c r="D22" s="12" t="str">
        <x:v>La preuve porte sur une relation entre geste, position et reflet.</x:v>
      </x:c>
      <x:c r="E22" s="12" t="str">
        <x:v>Anomalies de personnage</x:v>
      </x:c>
      <x:c r="F22" s="13" t="str">
        <x:v>Implémenté — QA partielle</x:v>
      </x:c>
      <x:c r="G22" s="12" t="str">
        <x:v>L’interface conserve l’identité réelle des membres ; un double reste fictionnel.</x:v>
      </x:c>
    </x:row>
    <x:row r="23" ht="40" customHeight="1">
      <x:c r="A23" s="11" t="str">
        <x:v>N18</x:v>
      </x:c>
      <x:c r="B23" s="11" t="str">
        <x:v>Écriture des indices</x:v>
      </x:c>
      <x:c r="C23" s="11" t="str">
        <x:v>Donner à chaque phénomène une baseline, un contraste et une phrase de débrief.</x:v>
      </x:c>
      <x:c r="D23" s="11" t="str">
        <x:v>La peur reste compréhensible après la révélation.</x:v>
      </x:c>
      <x:c r="E23" s="11" t="str">
        <x:v>Catalogue de 120 fiches</x:v>
      </x:c>
      <x:c r="F23" s="13" t="str">
        <x:v>Conception définie</x:v>
      </x:c>
      <x:c r="G23" s="11" t="str">
        <x:v>Ne jamais remplacer la preuve par une phrase vague du type « ambiance bizarre ».</x:v>
      </x:c>
    </x:row>
  </x:sheetData>
  <x:conditionalFormatting sqref="F6:F23">
    <x:cfRule type="containsText" dxfId="30" priority="1" operator="containsText" text="Bloqué"/>
    <x:cfRule type="containsText" dxfId="31" priority="2" operator="containsText" text="Validé"/>
    <x:cfRule type="containsText" dxfId="32" priority="3" operator="containsText" text="Réussi"/>
  </x:conditionalFormatting>
  <x:dataValidations count="1">
    <x:dataValidation type="list" sqref="F6:F23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5a49a6e2943b6"/>
  </x:tableParts>
</x:worksheet>
</file>

<file path=xl/worksheets/sheet13.xml><?xml version="1.0" encoding="utf-8"?>
<x:worksheet xmlns:x="http://schemas.openxmlformats.org/spreadsheetml/2006/main">
  <x:sheetPr>
    <x:tabColor rgb="FF75919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66" hidden="0" customWidth="1"/>
    <x:col min="5" max="5" width="31" hidden="0" customWidth="1"/>
    <x:col min="6" max="6" width="26" hidden="0" customWidth="1"/>
    <x:col min="7" max="7" width="33" hidden="0" customWidth="1"/>
    <x:col min="8" max="8" width="6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Production et travaux restants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P0 : intégrité de jeu. P1 : qualité. P2 : extension ou distribution. Aucun budget estimé sans devis.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Priorité</x:v>
      </x:c>
      <x:c r="C5" s="10" t="str">
        <x:v>Lot</x:v>
      </x:c>
      <x:c r="D5" s="10" t="str">
        <x:v>Travail</x:v>
      </x:c>
      <x:c r="E5" s="10" t="str">
        <x:v>Statut</x:v>
      </x:c>
      <x:c r="F5" s="10" t="str">
        <x:v>Discipline</x:v>
      </x:c>
      <x:c r="G5" s="10" t="str">
        <x:v>Dépendance</x:v>
      </x:c>
      <x:c r="H5" s="10" t="str">
        <x:v>Condition de clôture</x:v>
      </x:c>
    </x:row>
    <x:row r="6" ht="40" customHeight="1">
      <x:c r="A6" s="12" t="str">
        <x:v>P01</x:v>
      </x:c>
      <x:c r="B6" s="12" t="str">
        <x:v>P0</x:v>
      </x:c>
      <x:c r="C6" s="12" t="str">
        <x:v>Boucle</x:v>
      </x:c>
      <x:c r="D6" s="12" t="str">
        <x:v>Référence, inspection, vote, résultat, victoire et défaite.</x:v>
      </x:c>
      <x:c r="E6" s="13" t="str">
        <x:v>Présent</x:v>
      </x:c>
      <x:c r="F6" s="12" t="str">
        <x:v>Systèmes</x:v>
      </x:c>
      <x:c r="G6" s="12" t="str">
        <x:v>L01–L17</x:v>
      </x:c>
      <x:c r="H6" s="12" t="str">
        <x:v>Traverser une partie complète sans recharger la page.</x:v>
      </x:c>
    </x:row>
    <x:row r="7" ht="40" customHeight="1">
      <x:c r="A7" s="11" t="str">
        <x:v>P02</x:v>
      </x:c>
      <x:c r="B7" s="11" t="str">
        <x:v>P0</x:v>
      </x:c>
      <x:c r="C7" s="11" t="str">
        <x:v>Coop</x:v>
      </x:c>
      <x:c r="D7" s="11" t="str">
        <x:v>Salle réelle, code, connexion de plusieurs clients.</x:v>
      </x:c>
      <x:c r="E7" s="13" t="str">
        <x:v>Présent</x:v>
      </x:c>
      <x:c r="F7" s="11" t="str">
        <x:v>Réseau</x:v>
      </x:c>
      <x:c r="G7" s="11" t="str">
        <x:v>C01–C03</x:v>
      </x:c>
      <x:c r="H7" s="11" t="str">
        <x:v>Deux navigateurs indépendants rejoignent la même salle.</x:v>
      </x:c>
    </x:row>
    <x:row r="8" ht="40" customHeight="1">
      <x:c r="A8" s="12" t="str">
        <x:v>P03</x:v>
      </x:c>
      <x:c r="B8" s="12" t="str">
        <x:v>P0</x:v>
      </x:c>
      <x:c r="C8" s="12" t="str">
        <x:v>Confidentialité</x:v>
      </x:c>
      <x:c r="D8" s="12" t="str">
        <x:v>Distribuer les perceptions sans exposer les autres vues.</x:v>
      </x:c>
      <x:c r="E8" s="13" t="str">
        <x:v>Présent</x:v>
      </x:c>
      <x:c r="F8" s="12" t="str">
        <x:v>Réseau</x:v>
      </x:c>
      <x:c r="G8" s="12" t="str">
        <x:v>C04–C05</x:v>
      </x:c>
      <x:c r="H8" s="12" t="str">
        <x:v>Une inspection réseau ne contient pas la vérité avant le résultat.</x:v>
      </x:c>
    </x:row>
    <x:row r="9" ht="40" customHeight="1">
      <x:c r="A9" s="11" t="str">
        <x:v>P04</x:v>
      </x:c>
      <x:c r="B9" s="11" t="str">
        <x:v>P0</x:v>
      </x:c>
      <x:c r="C9" s="11" t="str">
        <x:v>Contenu</x:v>
      </x:c>
      <x:c r="D9" s="11" t="str">
        <x:v>Intégrer les 54 anomalies présentes au catalogue runtime 0.2.1.</x:v>
      </x:c>
      <x:c r="E9" s="13" t="str">
        <x:v>Implémenté — QA partielle</x:v>
      </x:c>
      <x:c r="F9" s="11" t="str">
        <x:v>3D / radio / gameplay</x:v>
      </x:c>
      <x:c r="G9" s="11" t="str">
        <x:v>Catalogue runtime</x:v>
      </x:c>
      <x:c r="H9" s="11" t="str">
        <x:v>Identifiant, règles de tirage, perception, preuve et nettoyage présents pour chaque entrée.</x:v>
      </x:c>
    </x:row>
    <x:row r="10" ht="40" customHeight="1">
      <x:c r="A10" s="12" t="str">
        <x:v>P05</x:v>
      </x:c>
      <x:c r="B10" s="12" t="str">
        <x:v>P0</x:v>
      </x:c>
      <x:c r="C10" s="12" t="str">
        <x:v>Concept central</x:v>
      </x:c>
      <x:c r="D10" s="12" t="str">
        <x:v>Intégrer le relais aux codes contradictoires.</x:v>
      </x:c>
      <x:c r="E10" s="13" t="str">
        <x:v>Présent</x:v>
      </x:c>
      <x:c r="F10" s="12" t="str">
        <x:v>Gameplay</x:v>
      </x:c>
      <x:c r="G10" s="12" t="str">
        <x:v>PX-025</x:v>
      </x:c>
      <x:c r="H10" s="12" t="str">
        <x:v>Deux vues ordinaires ne permettent de conclure qu’en comparant.</x:v>
      </x:c>
    </x:row>
    <x:row r="11" ht="40" customHeight="1">
      <x:c r="A11" s="11" t="str">
        <x:v>P06</x:v>
      </x:c>
      <x:c r="B11" s="11" t="str">
        <x:v>P0</x:v>
      </x:c>
      <x:c r="C11" s="11" t="str">
        <x:v>Vote</x:v>
      </x:c>
      <x:c r="D11" s="11" t="str">
        <x:v>Gérer les votes divergents, changement de choix et unanimité.</x:v>
      </x:c>
      <x:c r="E11" s="13" t="str">
        <x:v>Présent</x:v>
      </x:c>
      <x:c r="F11" s="11" t="str">
        <x:v>Systèmes</x:v>
      </x:c>
      <x:c r="G11" s="11" t="str">
        <x:v>C09</x:v>
      </x:c>
      <x:c r="H11" s="11" t="str">
        <x:v>Aucun score modifié tant que les joueurs ne sont pas d’accord.</x:v>
      </x:c>
    </x:row>
    <x:row r="12" ht="40" customHeight="1">
      <x:c r="A12" s="12" t="str">
        <x:v>P07</x:v>
      </x:c>
      <x:c r="B12" s="12" t="str">
        <x:v>P0</x:v>
      </x:c>
      <x:c r="C12" s="12" t="str">
        <x:v>Concurrence</x:v>
      </x:c>
      <x:c r="D12" s="12" t="str">
        <x:v>Empêcher double résolution lors de votes simultanés.</x:v>
      </x:c>
      <x:c r="E12" s="13" t="str">
        <x:v>Présent</x:v>
      </x:c>
      <x:c r="F12" s="12" t="str">
        <x:v>Réseau</x:v>
      </x:c>
      <x:c r="G12" s="12" t="str">
        <x:v>C10</x:v>
      </x:c>
      <x:c r="H12" s="12" t="str">
        <x:v>Une manche résolue produit exactement une modification de série.</x:v>
      </x:c>
    </x:row>
    <x:row r="13" ht="40" customHeight="1">
      <x:c r="A13" s="11" t="str">
        <x:v>P08</x:v>
      </x:c>
      <x:c r="B13" s="11" t="str">
        <x:v>P0</x:v>
      </x:c>
      <x:c r="C13" s="11" t="str">
        <x:v>Entrée</x:v>
      </x:c>
      <x:c r="D13" s="11" t="str">
        <x:v>Tutoriel et état normal clairement identifiés.</x:v>
      </x:c>
      <x:c r="E13" s="13" t="str">
        <x:v>Présent</x:v>
      </x:c>
      <x:c r="F13" s="11" t="str">
        <x:v>UX jeu</x:v>
      </x:c>
      <x:c r="G13" s="11" t="str">
        <x:v>L02</x:v>
      </x:c>
      <x:c r="H13" s="11" t="str">
        <x:v>Un nouvel utilisateur explique correctement la règle du relais.</x:v>
      </x:c>
    </x:row>
    <x:row r="14" ht="40" customHeight="1">
      <x:c r="A14" s="12" t="str">
        <x:v>P09</x:v>
      </x:c>
      <x:c r="B14" s="12" t="str">
        <x:v>P0</x:v>
      </x:c>
      <x:c r="C14" s="12" t="str">
        <x:v>QA visuelle</x:v>
      </x:c>
      <x:c r="D14" s="12" t="str">
        <x:v>Inspecter toutes les anomalies et reflets dans les deux perceptions et les trois lieux.</x:v>
      </x:c>
      <x:c r="E14" s="13" t="str">
        <x:v>À tester sur GPU</x:v>
      </x:c>
      <x:c r="F14" s="12" t="str">
        <x:v>QA</x:v>
      </x:c>
      <x:c r="G14" s="12" t="str">
        <x:v>QA02, QA04, QA09, QA53–QA60</x:v>
      </x:c>
      <x:c r="H14" s="12" t="str">
        <x:v>Captures GPU réelles et résultat concordants avec le catalogue.</x:v>
      </x:c>
    </x:row>
    <x:row r="15" ht="64" customHeight="1">
      <x:c r="A15" s="11" t="str">
        <x:v>P10</x:v>
      </x:c>
      <x:c r="B15" s="11" t="str">
        <x:v>P0</x:v>
      </x:c>
      <x:c r="C15" s="11" t="str">
        <x:v>QA coop</x:v>
      </x:c>
      <x:c r="D15" s="11" t="str">
        <x:v>Terminer campagne et lieu unique avec plusieurs clients réels.</x:v>
      </x:c>
      <x:c r="E15" s="13" t="str">
        <x:v>À vérifier</x:v>
      </x:c>
      <x:c r="F15" s="11" t="str">
        <x:v>QA</x:v>
      </x:c>
      <x:c r="G15" s="11" t="str">
        <x:v>QA15–QA25, QA41–QA46</x:v>
      </x:c>
      <x:c r="H15" s="11" t="str">
        <x:v>Rapport v0.2 conservé : D1 local réel : quatre clients HTTP, neuf consensus concurrents, campagne trois lieux et références propres, signalisation privée et départ réussis. Ni microphones physiques ni trajet TURN réel testés par ce rapport.</x:v>
      </x:c>
    </x:row>
    <x:row r="16" ht="40" customHeight="1">
      <x:c r="A16" s="12" t="str">
        <x:v>P11</x:v>
      </x:c>
      <x:c r="B16" s="12" t="str">
        <x:v>P0</x:v>
      </x:c>
      <x:c r="C16" s="12" t="str">
        <x:v>Reconnexion</x:v>
      </x:c>
      <x:c r="D16" s="12" t="str">
        <x:v>Reprendre après coupure, départ ou perte du responsable.</x:v>
      </x:c>
      <x:c r="E16" s="13" t="str">
        <x:v>Implémenté — QA partielle</x:v>
      </x:c>
      <x:c r="F16" s="12" t="str">
        <x:v>Réseau</x:v>
      </x:c>
      <x:c r="G16" s="12" t="str">
        <x:v>C11</x:v>
      </x:c>
      <x:c r="H16" s="12" t="str">
        <x:v>État et perception conservés ; vérification Internet et voix sur appareils encore nécessaire.</x:v>
      </x:c>
    </x:row>
    <x:row r="17" ht="40" customHeight="1">
      <x:c r="A17" s="11" t="str">
        <x:v>P12</x:v>
      </x:c>
      <x:c r="B17" s="11" t="str">
        <x:v>P0</x:v>
      </x:c>
      <x:c r="C17" s="11" t="str">
        <x:v>Performance</x:v>
      </x:c>
      <x:c r="D17" s="11" t="str">
        <x:v>Mesurer matériel et profil par qualité.</x:v>
      </x:c>
      <x:c r="E17" s="13" t="str">
        <x:v>À vérifier</x:v>
      </x:c>
      <x:c r="F17" s="11" t="str">
        <x:v>Technique</x:v>
      </x:c>
      <x:c r="G17" s="11" t="str">
        <x:v>A15–A17</x:v>
      </x:c>
      <x:c r="H17" s="11" t="str">
        <x:v>Publier les mesures plutôt qu’un chiffre de FPS supposé.</x:v>
      </x:c>
    </x:row>
    <x:row r="18" ht="40" customHeight="1">
      <x:c r="A18" s="12" t="str">
        <x:v>P13</x:v>
      </x:c>
      <x:c r="B18" s="12" t="str">
        <x:v>P1</x:v>
      </x:c>
      <x:c r="C18" s="12" t="str">
        <x:v>Mobile</x:v>
      </x:c>
      <x:c r="D18" s="12" t="str">
        <x:v>Valider commandes tactiles en paysage.</x:v>
      </x:c>
      <x:c r="E18" s="13" t="str">
        <x:v>À vérifier</x:v>
      </x:c>
      <x:c r="F18" s="12" t="str">
        <x:v>UX / QA</x:v>
      </x:c>
      <x:c r="G18" s="12" t="str">
        <x:v>K10</x:v>
      </x:c>
      <x:c r="H18" s="12" t="str">
        <x:v>Inspection, votes et radio utilisables sur vrais téléphones.</x:v>
      </x:c>
    </x:row>
    <x:row r="19" ht="40" customHeight="1">
      <x:c r="A19" s="11" t="str">
        <x:v>P14</x:v>
      </x:c>
      <x:c r="B19" s="11" t="str">
        <x:v>P1</x:v>
      </x:c>
      <x:c r="C19" s="11" t="str">
        <x:v>Audio</x:v>
      </x:c>
      <x:c r="D19" s="11" t="str">
        <x:v>Valider mixage ambiance, pas et bilans.</x:v>
      </x:c>
      <x:c r="E19" s="13" t="str">
        <x:v>À vérifier</x:v>
      </x:c>
      <x:c r="F19" s="11" t="str">
        <x:v>Son</x:v>
      </x:c>
      <x:c r="G19" s="11" t="str">
        <x:v>S01–S05</x:v>
      </x:c>
      <x:c r="H19" s="11" t="str">
        <x:v>Pas de pic soudain ou de couverture excessive de la voix.</x:v>
      </x:c>
    </x:row>
    <x:row r="20" ht="40" customHeight="1">
      <x:c r="A20" s="12" t="str">
        <x:v>P15</x:v>
      </x:c>
      <x:c r="B20" s="12" t="str">
        <x:v>P1</x:v>
      </x:c>
      <x:c r="C20" s="12" t="str">
        <x:v>Accessibilité</x:v>
      </x:c>
      <x:c r="D20" s="12" t="str">
        <x:v>Ajouter FOV, bobbing, sous-titres et remappage.</x:v>
      </x:c>
      <x:c r="E20" s="13" t="str">
        <x:v>Conçu — non implémenté</x:v>
      </x:c>
      <x:c r="F20" s="12" t="str">
        <x:v>UX</x:v>
      </x:c>
      <x:c r="G20" s="12" t="str">
        <x:v>K14–K16</x:v>
      </x:c>
      <x:c r="H20" s="12" t="str">
        <x:v>Chaque indice demeure détectable avec les options de confort.</x:v>
      </x:c>
    </x:row>
    <x:row r="21" ht="40" customHeight="1">
      <x:c r="A21" s="11" t="str">
        <x:v>P16</x:v>
      </x:c>
      <x:c r="B21" s="11" t="str">
        <x:v>P1</x:v>
      </x:c>
      <x:c r="C21" s="11" t="str">
        <x:v>Voix</x:v>
      </x:c>
      <x:c r="D21" s="11" t="str">
        <x:v>Talkies WebRTC, PTT, écoute sans micro et réglages de réception.</x:v>
      </x:c>
      <x:c r="E21" s="13" t="str">
        <x:v>Implémenté — QA partielle</x:v>
      </x:c>
      <x:c r="F21" s="11" t="str">
        <x:v>Réseau / audio</x:v>
      </x:c>
      <x:c r="G21" s="11" t="str">
        <x:v>Feuille Radio</x:v>
      </x:c>
      <x:c r="H21" s="11" t="str">
        <x:v>Code et contrôles ciblés présents ; certification des appareils, réseau NAT/TURN et mix restent ouverts.</x:v>
      </x:c>
    </x:row>
    <x:row r="22" ht="40" customHeight="1">
      <x:c r="A22" s="12" t="str">
        <x:v>P17</x:v>
      </x:c>
      <x:c r="B22" s="12" t="str">
        <x:v>P1</x:v>
      </x:c>
      <x:c r="C22" s="12" t="str">
        <x:v>Relations</x:v>
      </x:c>
      <x:c r="D22" s="12" t="str">
        <x:v>Produire douze anomalies nécessitant des témoignages complémentaires.</x:v>
      </x:c>
      <x:c r="E22" s="13" t="str">
        <x:v>Conçu — non implémenté</x:v>
      </x:c>
      <x:c r="F22" s="12" t="str">
        <x:v>Gameplay</x:v>
      </x:c>
      <x:c r="G22" s="12" t="str">
        <x:v>Catalogue relationnel</x:v>
      </x:c>
      <x:c r="H22" s="12" t="str">
        <x:v>Les joueurs ne peuvent pas répondre avec une seule capture isolée.</x:v>
      </x:c>
    </x:row>
    <x:row r="23" ht="40" customHeight="1">
      <x:c r="A23" s="11" t="str">
        <x:v>P18</x:v>
      </x:c>
      <x:c r="B23" s="11" t="str">
        <x:v>P1</x:v>
      </x:c>
      <x:c r="C23" s="11" t="str">
        <x:v>Audio privé</x:v>
      </x:c>
      <x:c r="D23" s="11" t="str">
        <x:v>Six transformations de réception et étalonnage accessible sans micro.</x:v>
      </x:c>
      <x:c r="E23" s="13" t="str">
        <x:v>Implémenté — QA partielle</x:v>
      </x:c>
      <x:c r="F23" s="11" t="str">
        <x:v>Audio / gameplay</x:v>
      </x:c>
      <x:c r="G23" s="11" t="str">
        <x:v>radio_echo à radio_aftertone</x:v>
      </x:c>
      <x:c r="H23" s="11" t="str">
        <x:v>Relevé cohérent avec l’effet, sans dépendre d’une panne technique ni du silence d’un partenaire.</x:v>
      </x:c>
    </x:row>
    <x:row r="24" ht="40" customHeight="1">
      <x:c r="A24" s="12" t="str">
        <x:v>P19</x:v>
      </x:c>
      <x:c r="B24" s="12" t="str">
        <x:v>P1</x:v>
      </x:c>
      <x:c r="C24" s="12" t="str">
        <x:v>Artistique</x:v>
      </x:c>
      <x:c r="D24" s="12" t="str">
        <x:v>Sculpter et texturer les objets héro en haute définition.</x:v>
      </x:c>
      <x:c r="E24" s="13" t="str">
        <x:v>Conçu — non implémenté</x:v>
      </x:c>
      <x:c r="F24" s="12" t="str">
        <x:v>Art 3D</x:v>
      </x:c>
      <x:c r="G24" s="12" t="str">
        <x:v>A18–A19</x:v>
      </x:c>
      <x:c r="H24" s="12" t="str">
        <x:v>Assets originaux, optimisation et provenance documentées.</x:v>
      </x:c>
    </x:row>
    <x:row r="25" ht="40" customHeight="1">
      <x:c r="A25" s="11" t="str">
        <x:v>P20</x:v>
      </x:c>
      <x:c r="B25" s="11" t="str">
        <x:v>P1</x:v>
      </x:c>
      <x:c r="C25" s="11" t="str">
        <x:v>Humains</x:v>
      </x:c>
      <x:c r="D25" s="11" t="str">
        <x:v>Corps procéduraux articulés, équipement, locomotion et gestes de talkie.</x:v>
      </x:c>
      <x:c r="E25" s="13" t="str">
        <x:v>Implémenté — QA partielle</x:v>
      </x:c>
      <x:c r="F25" s="11" t="str">
        <x:v>Personnages</x:v>
      </x:c>
      <x:c r="G25" s="11" t="str">
        <x:v>Feuille Personnages</x:v>
      </x:c>
      <x:c r="H25" s="11" t="str">
        <x:v>Corps local, équipiers et reflets disponibles ; humains sculptés photoréalistes dans un lot distinct.</x:v>
      </x:c>
    </x:row>
    <x:row r="26" ht="40" customHeight="1">
      <x:c r="A26" s="12" t="str">
        <x:v>P21</x:v>
      </x:c>
      <x:c r="B26" s="12" t="str">
        <x:v>P1</x:v>
      </x:c>
      <x:c r="C26" s="12" t="str">
        <x:v>Miroirs</x:v>
      </x:c>
      <x:c r="D26" s="12" t="str">
        <x:v>Reflets planaires de la scène et des inspecteurs ; effets individuels.</x:v>
      </x:c>
      <x:c r="E26" s="13" t="str">
        <x:v>Implémenté — QA partielle</x:v>
      </x:c>
      <x:c r="F26" s="12" t="str">
        <x:v>Rendu</x:v>
      </x:c>
      <x:c r="G26" s="12" t="str">
        <x:v>A09, A31</x:v>
      </x:c>
      <x:c r="H26" s="12" t="str">
        <x:v>Cohérence structurelle et nettoyage ; exactitude visuelle et coût à confirmer sur GPU.</x:v>
      </x:c>
    </x:row>
    <x:row r="27" ht="40" customHeight="1">
      <x:c r="A27" s="11" t="str">
        <x:v>P22</x:v>
      </x:c>
      <x:c r="B27" s="11" t="str">
        <x:v>P1</x:v>
      </x:c>
      <x:c r="C27" s="11" t="str">
        <x:v>Menaces</x:v>
      </x:c>
      <x:c r="D27" s="11" t="str">
        <x:v>Ajouter une entité active à stratégie collective.</x:v>
      </x:c>
      <x:c r="E27" s="13" t="str">
        <x:v>Conçu — non implémenté</x:v>
      </x:c>
      <x:c r="F27" s="11" t="str">
        <x:v>Gameplay</x:v>
      </x:c>
      <x:c r="G27" s="11" t="str">
        <x:v>L19</x:v>
      </x:c>
      <x:c r="H27" s="11" t="str">
        <x:v>Indice préalable, compteur clair et issue sûre.</x:v>
      </x:c>
    </x:row>
    <x:row r="28" ht="40" customHeight="1">
      <x:c r="A28" s="12" t="str">
        <x:v>P23</x:v>
      </x:c>
      <x:c r="B28" s="12" t="str">
        <x:v>P1</x:v>
      </x:c>
      <x:c r="C28" s="12" t="str">
        <x:v>Équilibrage</x:v>
      </x:c>
      <x:c r="D28" s="12" t="str">
        <x:v>Playtests de durée, difficultés et taux d’erreur.</x:v>
      </x:c>
      <x:c r="E28" s="13" t="str">
        <x:v>Conçu — non implémenté</x:v>
      </x:c>
      <x:c r="F28" s="12" t="str">
        <x:v>Design / QA</x:v>
      </x:c>
      <x:c r="G28" s="12" t="str">
        <x:v>L03,L15–L17</x:v>
      </x:c>
      <x:c r="H28" s="12" t="str">
        <x:v>Données issues de sessions de deux, trois et quatre personnes.</x:v>
      </x:c>
    </x:row>
    <x:row r="29" ht="40" customHeight="1">
      <x:c r="A29" s="11" t="str">
        <x:v>P24</x:v>
      </x:c>
      <x:c r="B29" s="11" t="str">
        <x:v>P1</x:v>
      </x:c>
      <x:c r="C29" s="11" t="str">
        <x:v>Progression</x:v>
      </x:c>
      <x:c r="D29" s="11" t="str">
        <x:v>Dossiers de preuves et déblocages cosmétiques.</x:v>
      </x:c>
      <x:c r="E29" s="13" t="str">
        <x:v>Conçu — non implémenté</x:v>
      </x:c>
      <x:c r="F29" s="11" t="str">
        <x:v>Systèmes</x:v>
      </x:c>
      <x:c r="G29" s="11" t="str">
        <x:v>L20</x:v>
      </x:c>
      <x:c r="H29" s="11" t="str">
        <x:v>Récompenses sans avantage révélant la vérité.</x:v>
      </x:c>
    </x:row>
    <x:row r="30" ht="40" customHeight="1">
      <x:c r="A30" s="12" t="str">
        <x:v>P25</x:v>
      </x:c>
      <x:c r="B30" s="12" t="str">
        <x:v>P2</x:v>
      </x:c>
      <x:c r="C30" s="12" t="str">
        <x:v>Chalet</x:v>
      </x:c>
      <x:c r="D30" s="12" t="str">
        <x:v>Créer module industriel de chalet inspectable.</x:v>
      </x:c>
      <x:c r="E30" s="13" t="str">
        <x:v>Conçu — non implémenté</x:v>
      </x:c>
      <x:c r="F30" s="12" t="str">
        <x:v>Level design</x:v>
      </x:c>
      <x:c r="G30" s="12" t="str">
        <x:v>Z09</x:v>
      </x:c>
      <x:c r="H30" s="12" t="str">
        <x:v>Nouvelle baseline, parcours complet et catalogue propre.</x:v>
      </x:c>
    </x:row>
    <x:row r="31" ht="40" customHeight="1">
      <x:c r="A31" s="11" t="str">
        <x:v>P26</x:v>
      </x:c>
      <x:c r="B31" s="11" t="str">
        <x:v>P1</x:v>
      </x:c>
      <x:c r="C31" s="11" t="str">
        <x:v>Métro</x:v>
      </x:c>
      <x:c r="D31" s="11" t="str">
        <x:v>Architecture Terminus 09 avec quai, rails, signal, écran et anomalies dédiées.</x:v>
      </x:c>
      <x:c r="E31" s="13" t="str">
        <x:v>Implémenté — QA partielle</x:v>
      </x:c>
      <x:c r="F31" s="11" t="str">
        <x:v>Level design</x:v>
      </x:c>
      <x:c r="G31" s="11" t="str">
        <x:v>Niveaux 02 / Z10</x:v>
      </x:c>
      <x:c r="H31" s="11" t="str">
        <x:v>Référence quai vide, signal vert, rails droits et SERVICE TERMINÉ ; parcours matériel encore à tester.</x:v>
      </x:c>
    </x:row>
    <x:row r="32" ht="40" customHeight="1">
      <x:c r="A32" s="12" t="str">
        <x:v>P27</x:v>
      </x:c>
      <x:c r="B32" s="12" t="str">
        <x:v>P1</x:v>
      </x:c>
      <x:c r="C32" s="12" t="str">
        <x:v>Clinique</x:v>
      </x:c>
      <x:c r="D32" s="12" t="str">
        <x:v>Architecture Aile blanche avec lit, moniteur, paravent et fauteuil.</x:v>
      </x:c>
      <x:c r="E32" s="13" t="str">
        <x:v>Implémenté — QA partielle</x:v>
      </x:c>
      <x:c r="F32" s="12" t="str">
        <x:v>Level design</x:v>
      </x:c>
      <x:c r="G32" s="12" t="str">
        <x:v>Niveaux 03 / Z11</x:v>
      </x:c>
      <x:c r="H32" s="12" t="str">
        <x:v>Référence un lit, FC 072 / RYTHME SINUSAL et aucun mouvement de fauteuil.</x:v>
      </x:c>
    </x:row>
    <x:row r="33" ht="40" customHeight="1">
      <x:c r="A33" s="11" t="str">
        <x:v>P28</x:v>
      </x:c>
      <x:c r="B33" s="11" t="str">
        <x:v>P2</x:v>
      </x:c>
      <x:c r="C33" s="11" t="str">
        <x:v>Observatoire</x:v>
      </x:c>
      <x:c r="D33" s="11" t="str">
        <x:v>Créer annexe vitrée et extérieur cosmique.</x:v>
      </x:c>
      <x:c r="E33" s="13" t="str">
        <x:v>Conçu — non implémenté</x:v>
      </x:c>
      <x:c r="F33" s="11" t="str">
        <x:v>Level design</x:v>
      </x:c>
      <x:c r="G33" s="11" t="str">
        <x:v>Z12</x:v>
      </x:c>
      <x:c r="H33" s="11" t="str">
        <x:v>Ciel et météo liés aux témoignages.</x:v>
      </x:c>
    </x:row>
    <x:row r="34" ht="40" customHeight="1">
      <x:c r="A34" s="12" t="str">
        <x:v>P29</x:v>
      </x:c>
      <x:c r="B34" s="12" t="str">
        <x:v>P2</x:v>
      </x:c>
      <x:c r="C34" s="12" t="str">
        <x:v>Archives</x:v>
      </x:c>
      <x:c r="D34" s="12" t="str">
        <x:v>Créer dépôt de dossiers et microfilms.</x:v>
      </x:c>
      <x:c r="E34" s="13" t="str">
        <x:v>Conçu — non implémenté</x:v>
      </x:c>
      <x:c r="F34" s="12" t="str">
        <x:v>Level design</x:v>
      </x:c>
      <x:c r="G34" s="12" t="str">
        <x:v>Z13</x:v>
      </x:c>
      <x:c r="H34" s="12" t="str">
        <x:v>Preuves textuelles lisibles et localisées.</x:v>
      </x:c>
    </x:row>
    <x:row r="35" ht="40" customHeight="1">
      <x:c r="A35" s="11" t="str">
        <x:v>P30</x:v>
      </x:c>
      <x:c r="B35" s="11" t="str">
        <x:v>P2</x:v>
      </x:c>
      <x:c r="C35" s="11" t="str">
        <x:v>Finales</x:v>
      </x:c>
      <x:c r="D35" s="11" t="str">
        <x:v>Produire les trois dénouements narratifs étendus.</x:v>
      </x:c>
      <x:c r="E35" s="13" t="str">
        <x:v>Conçu — non implémenté</x:v>
      </x:c>
      <x:c r="F35" s="11" t="str">
        <x:v>Narration / cinéma</x:v>
      </x:c>
      <x:c r="G35" s="11" t="str">
        <x:v>N07–N09</x:v>
      </x:c>
      <x:c r="H35" s="11" t="str">
        <x:v>Images et textes distincts de l’introduction.</x:v>
      </x:c>
    </x:row>
    <x:row r="36" ht="40" customHeight="1">
      <x:c r="A36" s="12" t="str">
        <x:v>P31</x:v>
      </x:c>
      <x:c r="B36" s="12" t="str">
        <x:v>P1</x:v>
      </x:c>
      <x:c r="C36" s="12" t="str">
        <x:v>Campagne</x:v>
      </x:c>
      <x:c r="D36" s="12" t="str">
        <x:v>Trois lieux × trois validations, paliers conservés et nouvelles références.</x:v>
      </x:c>
      <x:c r="E36" s="13" t="str">
        <x:v>Implémenté — QA partielle</x:v>
      </x:c>
      <x:c r="F36" s="12" t="str">
        <x:v>Systèmes</x:v>
      </x:c>
      <x:c r="G36" s="12" t="str">
        <x:v>L21–L23</x:v>
      </x:c>
      <x:c r="H36" s="12" t="str">
        <x:v>Campagne complète, erreur après palier, sauvegarde solo et synchronisation coop cohérentes.</x:v>
      </x:c>
    </x:row>
    <x:row r="37" ht="40" customHeight="1">
      <x:c r="A37" s="11" t="str">
        <x:v>P32</x:v>
      </x:c>
      <x:c r="B37" s="11" t="str">
        <x:v>P2</x:v>
      </x:c>
      <x:c r="C37" s="11" t="str">
        <x:v>Installation</x:v>
      </x:c>
      <x:c r="D37" s="11" t="str">
        <x:v>Packager un exécutable PC et un installateur.</x:v>
      </x:c>
      <x:c r="E37" s="13" t="str">
        <x:v>Conçu — non implémenté</x:v>
      </x:c>
      <x:c r="F37" s="11" t="str">
        <x:v>Build</x:v>
      </x:c>
      <x:c r="G37" s="11" t="str">
        <x:v>A24</x:v>
      </x:c>
      <x:c r="H37" s="11" t="str">
        <x:v>Test sur machine propre hors environnement de développement.</x:v>
      </x:c>
    </x:row>
    <x:row r="38" ht="40" customHeight="1">
      <x:c r="A38" s="12" t="str">
        <x:v>P33</x:v>
      </x:c>
      <x:c r="B38" s="12" t="str">
        <x:v>P2</x:v>
      </x:c>
      <x:c r="C38" s="12" t="str">
        <x:v>Steam</x:v>
      </x:c>
      <x:c r="D38" s="12" t="str">
        <x:v>Préparer intégration invitations, succès et publication.</x:v>
      </x:c>
      <x:c r="E38" s="13" t="str">
        <x:v>Conçu — non implémenté</x:v>
      </x:c>
      <x:c r="F38" s="12" t="str">
        <x:v>Plateforme</x:v>
      </x:c>
      <x:c r="G38" s="12" t="str">
        <x:v>Après validation native</x:v>
      </x:c>
      <x:c r="H38" s="12" t="str">
        <x:v>Dépend d’un compte éditeur et d’un processus de publication distinct.</x:v>
      </x:c>
    </x:row>
    <x:row r="39" ht="40" customHeight="1">
      <x:c r="A39" s="11" t="str">
        <x:v>P34</x:v>
      </x:c>
      <x:c r="B39" s="11" t="str">
        <x:v>P2</x:v>
      </x:c>
      <x:c r="C39" s="11" t="str">
        <x:v>Qualité commerciale</x:v>
      </x:c>
      <x:c r="D39" s="11" t="str">
        <x:v>Campagne QA longue, localisation, crash reports et conformité des assets.</x:v>
      </x:c>
      <x:c r="E39" s="13" t="str">
        <x:v>Conçu — non implémenté</x:v>
      </x:c>
      <x:c r="F39" s="11" t="str">
        <x:v>Production</x:v>
      </x:c>
      <x:c r="G39" s="11" t="str">
        <x:v>Tous systèmes</x:v>
      </x:c>
      <x:c r="H39" s="11" t="str">
        <x:v>Un prototype jouable n’est pas une validation commerciale complète.</x:v>
      </x:c>
    </x:row>
    <x:row r="40" ht="64" customHeight="1">
      <x:c r="A40" s="12" t="str">
        <x:v>P35</x:v>
      </x:c>
      <x:c r="B40" s="12" t="str">
        <x:v>P1</x:v>
      </x:c>
      <x:c r="C40" s="12" t="str">
        <x:v>Export</x:v>
      </x:c>
      <x:c r="D40" s="12" t="str">
        <x:v>Fournir source, édition autonome, instructions et Excel 0.2.1 synchronisé.</x:v>
      </x:c>
      <x:c r="E40" s="13" t="str">
        <x:v>À vérifier</x:v>
      </x:c>
      <x:c r="F40" s="12" t="str">
        <x:v>Livraison</x:v>
      </x:c>
      <x:c r="G40" s="12" t="str">
        <x:v>Version 0.2.1</x:v>
      </x:c>
      <x:c r="H40" s="12" t="str">
        <x:v>Builds local / hébergé et test portable à deux clients HTTP réussis. Classeur synchronisé. Intégrité des nouvelles archives et GitHub CI à vérifier après assemblage / publication ; rapport docs/qa-final-v0.2.1.json.</x:v>
      </x:c>
    </x:row>
    <x:row r="41" ht="40" customHeight="1">
      <x:c r="A41" s="11" t="str">
        <x:v>P36</x:v>
      </x:c>
      <x:c r="B41" s="11" t="str">
        <x:v>P1</x:v>
      </x:c>
      <x:c r="C41" s="11" t="str">
        <x:v>Accès amis</x:v>
      </x:c>
      <x:c r="D41" s="11" t="str">
        <x:v>Vérifier l’accès à l’hébergement pour chaque invité.</x:v>
      </x:c>
      <x:c r="E41" s="13" t="str">
        <x:v>À vérifier</x:v>
      </x:c>
      <x:c r="F41" s="11" t="str">
        <x:v>Publication</x:v>
      </x:c>
      <x:c r="G41" s="11" t="str">
        <x:v>C16</x:v>
      </x:c>
      <x:c r="H41" s="11" t="str">
        <x:v>L’autorisation du site précède l’usage du code de salle.</x:v>
      </x:c>
    </x:row>
    <x:row r="42" ht="40" customHeight="1">
      <x:c r="A42" s="12" t="str">
        <x:v>P37</x:v>
      </x:c>
      <x:c r="B42" s="12" t="str">
        <x:v>P0</x:v>
      </x:c>
      <x:c r="C42" s="12" t="str">
        <x:v>Équité radio</x:v>
      </x:c>
      <x:c r="D42" s="12" t="str">
        <x:v>Conserver les tests de preuve indépendants des erreurs micro/réseau.</x:v>
      </x:c>
      <x:c r="E42" s="13" t="str">
        <x:v>Implémenté — QA partielle</x:v>
      </x:c>
      <x:c r="F42" s="12" t="str">
        <x:v>Design / audio</x:v>
      </x:c>
      <x:c r="G42" s="12" t="str">
        <x:v>R18–R22</x:v>
      </x:c>
      <x:c r="H42" s="12" t="str">
        <x:v>Refus micro, silence du pair et volume nul ne changent pas la vérité ni la solvabilité.</x:v>
      </x:c>
    </x:row>
    <x:row r="43" ht="40" customHeight="1">
      <x:c r="A43" s="11" t="str">
        <x:v>P38</x:v>
      </x:c>
      <x:c r="B43" s="11" t="str">
        <x:v>P0</x:v>
      </x:c>
      <x:c r="C43" s="11" t="str">
        <x:v>Autorisation micro</x:v>
      </x:c>
      <x:c r="D43" s="11" t="str">
        <x:v>Activer uniquement par action explicite et arrêter les pistes à la sortie.</x:v>
      </x:c>
      <x:c r="E43" s="13" t="str">
        <x:v>Implémenté — QA partielle</x:v>
      </x:c>
      <x:c r="F43" s="11" t="str">
        <x:v>Audio / vie privée</x:v>
      </x:c>
      <x:c r="G43" s="11" t="str">
        <x:v>R01, R04</x:v>
      </x:c>
      <x:c r="H43" s="11" t="str">
        <x:v>Aucun prompt automatique au menu ; pistes et connexions libérées en quittant.</x:v>
      </x:c>
    </x:row>
    <x:row r="44" ht="40" customHeight="1">
      <x:c r="A44" s="12" t="str">
        <x:v>P39</x:v>
      </x:c>
      <x:c r="B44" s="12" t="str">
        <x:v>P0</x:v>
      </x:c>
      <x:c r="C44" s="12" t="str">
        <x:v>Signalisation privée</x:v>
      </x:c>
      <x:c r="D44" s="12" t="str">
        <x:v>Borner, authentifier et cibler SDP et candidats ICE.</x:v>
      </x:c>
      <x:c r="E44" s="13" t="str">
        <x:v>Implémenté — QA partielle</x:v>
      </x:c>
      <x:c r="F44" s="12" t="str">
        <x:v>Réseau</x:v>
      </x:c>
      <x:c r="G44" s="12" t="str">
        <x:v>C19</x:v>
      </x:c>
      <x:c r="H44" s="12" t="str">
        <x:v>Pas de lecture par membre non destinataire, contenu malformé rejeté.</x:v>
      </x:c>
    </x:row>
    <x:row r="45" ht="40" customHeight="1">
      <x:c r="A45" s="11" t="str">
        <x:v>P40</x:v>
      </x:c>
      <x:c r="B45" s="11" t="str">
        <x:v>P0</x:v>
      </x:c>
      <x:c r="C45" s="11" t="str">
        <x:v>TURN réel</x:v>
      </x:c>
      <x:c r="D45" s="11" t="str">
        <x:v>Déployer et vérifier un relais pour deux réseaux restrictifs.</x:v>
      </x:c>
      <x:c r="E45" s="13" t="str">
        <x:v>À exécuter</x:v>
      </x:c>
      <x:c r="F45" s="11" t="str">
        <x:v>Infrastructure</x:v>
      </x:c>
      <x:c r="G45" s="11" t="str">
        <x:v>C22</x:v>
      </x:c>
      <x:c r="H45" s="11" t="str">
        <x:v>Session forcée en transport relay avec audio reçu ; durée et coût mesurés.</x:v>
      </x:c>
    </x:row>
    <x:row r="46" ht="40" customHeight="1">
      <x:c r="A46" s="12" t="str">
        <x:v>P41</x:v>
      </x:c>
      <x:c r="B46" s="12" t="str">
        <x:v>P0</x:v>
      </x:c>
      <x:c r="C46" s="12" t="str">
        <x:v>Microphones physiques</x:v>
      </x:c>
      <x:c r="D46" s="12" t="str">
        <x:v>Essayer deux puis quatre casques et microphones sur navigateurs distincts.</x:v>
      </x:c>
      <x:c r="E46" s="13" t="str">
        <x:v>À tester sur appareils</x:v>
      </x:c>
      <x:c r="F46" s="12" t="str">
        <x:v>QA audio</x:v>
      </x:c>
      <x:c r="G46" s="12" t="str">
        <x:v>QA47–QA52</x:v>
      </x:c>
      <x:c r="H46" s="12" t="str">
        <x:v>Réception, PTT, mute, reconnexion et retour d’arrière-plan observés physiquement.</x:v>
      </x:c>
    </x:row>
    <x:row r="47" ht="40" customHeight="1">
      <x:c r="A47" s="11" t="str">
        <x:v>P42</x:v>
      </x:c>
      <x:c r="B47" s="11" t="str">
        <x:v>P1</x:v>
      </x:c>
      <x:c r="C47" s="11" t="str">
        <x:v>Calibrations</x:v>
      </x:c>
      <x:c r="D47" s="11" t="str">
        <x:v>Vérifier les six formes sonores et leur relevé écrit.</x:v>
      </x:c>
      <x:c r="E47" s="13" t="str">
        <x:v>Implémenté — QA partielle</x:v>
      </x:c>
      <x:c r="F47" s="11" t="str">
        <x:v>Audio / QA</x:v>
      </x:c>
      <x:c r="G47" s="11" t="str">
        <x:v>R12–R17</x:v>
      </x:c>
      <x:c r="H47" s="11" t="str">
        <x:v>Code déterministe présent ; écoute humaine et confort de niveau restent à confirmer.</x:v>
      </x:c>
    </x:row>
    <x:row r="48" ht="40" customHeight="1">
      <x:c r="A48" s="12" t="str">
        <x:v>P43</x:v>
      </x:c>
      <x:c r="B48" s="12" t="str">
        <x:v>P1</x:v>
      </x:c>
      <x:c r="C48" s="12" t="str">
        <x:v>Reflets corporels</x:v>
      </x:c>
      <x:c r="D48" s="12" t="str">
        <x:v>Retard, absence, salut autonome, mannequin, double et ombre.</x:v>
      </x:c>
      <x:c r="E48" s="13" t="str">
        <x:v>Implémenté — QA partielle</x:v>
      </x:c>
      <x:c r="F48" s="12" t="str">
        <x:v>3D / gameplay</x:v>
      </x:c>
      <x:c r="G48" s="12" t="str">
        <x:v>Catalogue Personnages</x:v>
      </x:c>
      <x:c r="H48" s="12" t="str">
        <x:v>Chaque effet a une baseline lisible, une preuve persistante et un reset complet.</x:v>
      </x:c>
    </x:row>
    <x:row r="49" ht="40" customHeight="1">
      <x:c r="A49" s="11" t="str">
        <x:v>P44</x:v>
      </x:c>
      <x:c r="B49" s="11" t="str">
        <x:v>P1</x:v>
      </x:c>
      <x:c r="C49" s="11" t="str">
        <x:v>Manette</x:v>
      </x:c>
      <x:c r="D49" s="11" t="str">
        <x:v>Actions de jeu : A, X, Y, LB, View et Menu en plus des sticks.</x:v>
      </x:c>
      <x:c r="E49" s="13" t="str">
        <x:v>Implémenté — QA partielle</x:v>
      </x:c>
      <x:c r="F49" s="11" t="str">
        <x:v>Entrées</x:v>
      </x:c>
      <x:c r="G49" s="11" t="str">
        <x:v>K15</x:v>
      </x:c>
      <x:c r="H49" s="11" t="str">
        <x:v>Essais physiques ; navigation complète du menu reste un lot ultérieur.</x:v>
      </x:c>
    </x:row>
    <x:row r="50" ht="40" customHeight="1">
      <x:c r="A50" s="12" t="str">
        <x:v>P45</x:v>
      </x:c>
      <x:c r="B50" s="12" t="str">
        <x:v>P1</x:v>
      </x:c>
      <x:c r="C50" s="12" t="str">
        <x:v>Ambiances des lieux</x:v>
      </x:c>
      <x:c r="D50" s="12" t="str">
        <x:v>Timbres de ventilation et pas propres aux trois lieux.</x:v>
      </x:c>
      <x:c r="E50" s="13" t="str">
        <x:v>Implémenté — QA partielle</x:v>
      </x:c>
      <x:c r="F50" s="12" t="str">
        <x:v>Son</x:v>
      </x:c>
      <x:c r="G50" s="12" t="str">
        <x:v>S01, S02</x:v>
      </x:c>
      <x:c r="H50" s="12" t="str">
        <x:v>Transitions sans doublon de boucle ; mix matériel à auditer.</x:v>
      </x:c>
    </x:row>
    <x:row r="51" ht="40" customHeight="1">
      <x:c r="A51" s="11" t="str">
        <x:v>P46</x:v>
      </x:c>
      <x:c r="B51" s="11" t="str">
        <x:v>P1</x:v>
      </x:c>
      <x:c r="C51" s="11" t="str">
        <x:v>Assets haute définition</x:v>
      </x:c>
      <x:c r="D51" s="11" t="str">
        <x:v>Créer sources sculpt, UV, bake, textures 2K/4K et LOD pour les héros.</x:v>
      </x:c>
      <x:c r="E51" s="13" t="str">
        <x:v>Conçu — non implémenté</x:v>
      </x:c>
      <x:c r="F51" s="11" t="str">
        <x:v>Art 3D</x:v>
      </x:c>
      <x:c r="G51" s="11" t="str">
        <x:v>A26–A33</x:v>
      </x:c>
      <x:c r="H51" s="11" t="str">
        <x:v>Sources, licence, export, profils et captures de validation livrés.</x:v>
      </x:c>
    </x:row>
    <x:row r="52" ht="40" customHeight="1">
      <x:c r="A52" s="12" t="str">
        <x:v>P47</x:v>
      </x:c>
      <x:c r="B52" s="12" t="str">
        <x:v>P1</x:v>
      </x:c>
      <x:c r="C52" s="12" t="str">
        <x:v>Corps de qualité finale</x:v>
      </x:c>
      <x:c r="D52" s="12" t="str">
        <x:v>Produire rig, mains, poids, IK, textures et animations humaines abouties.</x:v>
      </x:c>
      <x:c r="E52" s="13" t="str">
        <x:v>Conçu — non implémenté</x:v>
      </x:c>
      <x:c r="F52" s="12" t="str">
        <x:v>Character art</x:v>
      </x:c>
      <x:c r="G52" s="12" t="str">
        <x:v>Personnages H13–H18</x:v>
      </x:c>
      <x:c r="H52" s="12" t="str">
        <x:v>Aucune déformation parasite dans miroir et première personne ; lisibilité du talkie.</x:v>
      </x:c>
    </x:row>
    <x:row r="53" ht="40" customHeight="1">
      <x:c r="A53" s="11" t="str">
        <x:v>P48</x:v>
      </x:c>
      <x:c r="B53" s="11" t="str">
        <x:v>P1</x:v>
      </x:c>
      <x:c r="C53" s="11" t="str">
        <x:v>Intégration UX</x:v>
      </x:c>
      <x:c r="D53" s="11" t="str">
        <x:v>Présenter objectifs, paliers, écoute et états techniques sans divulguer la vérité.</x:v>
      </x:c>
      <x:c r="E53" s="13" t="str">
        <x:v>Implémenté — QA partielle</x:v>
      </x:c>
      <x:c r="F53" s="11" t="str">
        <x:v>Interface</x:v>
      </x:c>
      <x:c r="G53" s="11" t="str">
        <x:v>L21–L27, Radio</x:v>
      </x:c>
      <x:c r="H53" s="11" t="str">
        <x:v>Nouveau joueur sait lancer, écouter, comparer et voter sans lire le code.</x:v>
      </x:c>
    </x:row>
    <x:row r="54" ht="40" customHeight="1">
      <x:c r="A54" s="12" t="str">
        <x:v>P49</x:v>
      </x:c>
      <x:c r="B54" s="12" t="str">
        <x:v>P1</x:v>
      </x:c>
      <x:c r="C54" s="12" t="str">
        <x:v>Sauvegardes</x:v>
      </x:c>
      <x:c r="D54" s="12" t="str">
        <x:v>Migrer v0.1 ; reprendre v0.2 et rejeter les données invalides.</x:v>
      </x:c>
      <x:c r="E54" s="13" t="str">
        <x:v>Implémenté — QA partielle</x:v>
      </x:c>
      <x:c r="F54" s="12" t="str">
        <x:v>Systèmes</x:v>
      </x:c>
      <x:c r="G54" s="12" t="str">
        <x:v>L26</x:v>
      </x:c>
      <x:c r="H54" s="12" t="str">
        <x:v>Aucune sauvegarde ne contourne le mode ou le lieu autorisé.</x:v>
      </x:c>
    </x:row>
    <x:row r="55" ht="40" customHeight="1">
      <x:c r="A55" s="11" t="str">
        <x:v>P50</x:v>
      </x:c>
      <x:c r="B55" s="11" t="str">
        <x:v>P1</x:v>
      </x:c>
      <x:c r="C55" s="11" t="str">
        <x:v>Playtests peur</x:v>
      </x:c>
      <x:c r="D55" s="11" t="str">
        <x:v>Éprouver rythme, intensité, ambiguïtés et équité des nouvelles preuves.</x:v>
      </x:c>
      <x:c r="E55" s="13" t="str">
        <x:v>À exécuter</x:v>
      </x:c>
      <x:c r="F55" s="11" t="str">
        <x:v>Design / recherche</x:v>
      </x:c>
      <x:c r="G55" s="11" t="str">
        <x:v>Catalogue 120</x:v>
      </x:c>
      <x:c r="H55" s="11" t="str">
        <x:v>Sessions consenties avec deux, trois et quatre personnes ; observations et corrections tracées.</x:v>
      </x:c>
    </x:row>
    <x:row r="56" ht="40" customHeight="1">
      <x:c r="A56" s="12" t="str">
        <x:v>P51</x:v>
      </x:c>
      <x:c r="B56" s="12" t="str">
        <x:v>P2</x:v>
      </x:c>
      <x:c r="C56" s="12" t="str">
        <x:v>Concepts restants</x:v>
      </x:c>
      <x:c r="D56" s="12" t="str">
        <x:v>Prioriser les 66 fiches encore conçues selon valeur de coopération et coût.</x:v>
      </x:c>
      <x:c r="E56" s="13" t="str">
        <x:v>Conçu — non implémenté</x:v>
      </x:c>
      <x:c r="F56" s="12" t="str">
        <x:v>Production</x:v>
      </x:c>
      <x:c r="G56" s="12" t="str">
        <x:v>Filtre Statut dans Anomalies</x:v>
      </x:c>
      <x:c r="H56" s="12" t="str">
        <x:v>Promouvoir seulement après code, preuve, assets, accessibilité et vérifications.</x:v>
      </x:c>
    </x:row>
    <x:row r="57" ht="40" customHeight="1">
      <x:c r="A57" s="11" t="str">
        <x:v>P52</x:v>
      </x:c>
      <x:c r="B57" s="11" t="str">
        <x:v>P2</x:v>
      </x:c>
      <x:c r="C57" s="11" t="str">
        <x:v>Navigation manette</x:v>
      </x:c>
      <x:c r="D57" s="11" t="str">
        <x:v>Menus, sélection de salle, clavier virtuel et réglages au contrôleur.</x:v>
      </x:c>
      <x:c r="E57" s="13" t="str">
        <x:v>Conçu — non implémenté</x:v>
      </x:c>
      <x:c r="F57" s="11" t="str">
        <x:v>UX / entrées</x:v>
      </x:c>
      <x:c r="G57" s="11" t="str">
        <x:v>K15</x:v>
      </x:c>
      <x:c r="H57" s="11" t="str">
        <x:v>Parcours complet sans souris, avec focus visible et retour cohérent.</x:v>
      </x:c>
    </x:row>
    <x:row r="58" ht="40" customHeight="1">
      <x:c r="A58" s="12" t="str">
        <x:v>P53</x:v>
      </x:c>
      <x:c r="B58" s="12" t="str">
        <x:v>P1</x:v>
      </x:c>
      <x:c r="C58" s="12" t="str">
        <x:v>Huit fiches promues</x:v>
      </x:c>
      <x:c r="D58" s="12" t="str">
        <x:v>Plafond, mur, valise, paravent, second lit, ombre de rame, flèche et heure SYNCHRO.</x:v>
      </x:c>
      <x:c r="E58" s="13" t="str">
        <x:v>Implémenté — QA partielle</x:v>
      </x:c>
      <x:c r="F58" s="12" t="str">
        <x:v>3D / gameplay</x:v>
      </x:c>
      <x:c r="G58" s="12" t="str">
        <x:v>PX-027, 032, 051, 052, 056, 066, 078, 079</x:v>
      </x:c>
      <x:c r="H58" s="12" t="str">
        <x:v>Conserver les IDs de conception ; chaque effet utilise la bonne architecture et un reset propre.</x:v>
      </x:c>
    </x:row>
    <x:row r="59" ht="40" customHeight="1">
      <x:c r="A59" s="11" t="str">
        <x:v>P54</x:v>
      </x:c>
      <x:c r="B59" s="11" t="str">
        <x:v>P1</x:v>
      </x:c>
      <x:c r="C59" s="11" t="str">
        <x:v>Modèle exportable</x:v>
      </x:c>
      <x:c r="D59" s="11" t="str">
        <x:v>Livrer inspecteur original en GLB, trois animations et manifeste de validation.</x:v>
      </x:c>
      <x:c r="E59" s="13" t="str">
        <x:v>Implémenté — QA partielle</x:v>
      </x:c>
      <x:c r="F59" s="11" t="str">
        <x:v>3D / assets</x:v>
      </x:c>
      <x:c r="G59" s="11" t="str">
        <x:v>H21 ; scripts/export-inspector.mjs</x:v>
      </x:c>
      <x:c r="H59" s="11" t="str">
        <x:v>GLTFExporter puis GLTFLoader réussis ; matériaux de base et articulation rigide explicités. Visuel GPU restant.</x:v>
      </x:c>
    </x:row>
    <x:row r="60" ht="64" customHeight="1">
      <x:c r="A60" s="12" t="str">
        <x:v>P55</x:v>
      </x:c>
      <x:c r="B60" s="12" t="str">
        <x:v>P0</x:v>
      </x:c>
      <x:c r="C60" s="12" t="str">
        <x:v>Cycle du microphone</x:v>
      </x:c>
      <x:c r="D60" s="12" t="str">
        <x:v>Fermer les flux retournés après extinction / sortie et protéger une réactivation plus récente.</x:v>
      </x:c>
      <x:c r="E60" s="13" t="str">
        <x:v>Implémenté — QA partielle</x:v>
      </x:c>
      <x:c r="F60" s="12" t="str">
        <x:v>Audio / cycle asynchrone</x:v>
      </x:c>
      <x:c r="G60" s="12" t="str">
        <x:v>Radio R28–R29 ; QA77–QA79</x:v>
      </x:c>
      <x:c r="H60" s="12" t="str">
        <x:v>19/19 tests radio réussis, dont 7 nouveaux : extinction, micro seul, anciennes réponses, nouvelle demande et sortie. Avant correction : 6 échecs / 1 succès ; après : 7/7. Pistes et API simulées ; aucun microphone physique ni transmission mesurée.</x:v>
      </x:c>
    </x:row>
    <x:row r="61" ht="77" customHeight="1">
      <x:c r="A61" s="11" t="str">
        <x:v>P56</x:v>
      </x:c>
      <x:c r="B61" s="11" t="str">
        <x:v>P0</x:v>
      </x:c>
      <x:c r="C61" s="11" t="str">
        <x:v>Commande de radio</x:v>
      </x:c>
      <x:c r="D61" s="11" t="str">
        <x:v>Libérer l’état d’attente de l’interface à l’extinction et isoler chaque nouvelle opération.</x:v>
      </x:c>
      <x:c r="E61" s="13" t="str">
        <x:v>Implémenté — QA partielle</x:v>
      </x:c>
      <x:c r="F61" s="11" t="str">
        <x:v>UI / contrôleur</x:v>
      </x:c>
      <x:c r="G61" s="11" t="str">
        <x:v>Radio R30 ; QA80</x:v>
      </x:c>
      <x:c r="H61" s="11" t="str">
        <x:v>4/4 tests de radio-actions : arrêt libère l’attente ; ancienne réponse ignorée, refus courant signalé ; changement de salon / démontage invalide les callbacks ; appel dans le geste utilisateur et échec synchrone nettoyé. Typecheck réussi. Aucun test DOM, micro physique ou GPU.</x:v>
      </x:c>
    </x:row>
  </x:sheetData>
  <x:conditionalFormatting sqref="E6:E61">
    <x:cfRule type="containsText" dxfId="33" priority="1" operator="containsText" text="Bloqué"/>
    <x:cfRule type="containsText" dxfId="34" priority="2" operator="containsText" text="Validé"/>
    <x:cfRule type="containsText" dxfId="35" priority="3" operator="containsText" text="Réussi"/>
  </x:conditionalFormatting>
  <x:dataValidations count="1">
    <x:dataValidation type="list" sqref="E6:E61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1f55f13514701"/>
  </x:tableParts>
</x:worksheet>
</file>

<file path=xl/worksheets/sheet14.xml><?xml version="1.0" encoding="utf-8"?>
<x:worksheet xmlns:x="http://schemas.openxmlformats.org/spreadsheetml/2006/main">
  <x:sheetPr>
    <x:tabColor rgb="FFA2716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60" hidden="0" customWidth="1"/>
    <x:col min="5" max="5" width="60" hidden="0" customWidth="1"/>
    <x:col min="6" max="6" width="30" hidden="0" customWidth="1"/>
    <x:col min="7" max="7" width="34" hidden="0" customWidth="1"/>
    <x:col min="8" max="8" width="6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Plan de vérification et preuves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Un résultat réussi porte sur la couverture indiquée ; le matériel et le GPU restent des vérifications distinctes.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Priorité</x:v>
      </x:c>
      <x:c r="C5" s="10" t="str">
        <x:v>Parcours</x:v>
      </x:c>
      <x:c r="D5" s="10" t="str">
        <x:v>Action de test</x:v>
      </x:c>
      <x:c r="E5" s="10" t="str">
        <x:v>Résultat attendu</x:v>
      </x:c>
      <x:c r="F5" s="10" t="str">
        <x:v>Résultat actuel</x:v>
      </x:c>
      <x:c r="G5" s="10" t="str">
        <x:v>Couverture</x:v>
      </x:c>
      <x:c r="H5" s="10" t="str">
        <x:v>Preuve / précision</x:v>
      </x:c>
    </x:row>
    <x:row r="6" ht="40" customHeight="1">
      <x:c r="A6" s="12" t="str">
        <x:v>QA01</x:v>
      </x:c>
      <x:c r="B6" s="12" t="str">
        <x:v>P0</x:v>
      </x:c>
      <x:c r="C6" s="12" t="str">
        <x:v>Référence</x:v>
      </x:c>
      <x:c r="D6" s="12" t="str">
        <x:v>Démarrer chacun des trois lieux, puis franchir un palier de campagne.</x:v>
      </x:c>
      <x:c r="E6" s="12" t="str">
        <x:v>Aucune anomalie ni point pendant chaque nouvelle référence.</x:v>
      </x:c>
      <x:c r="F6" s="13" t="str">
        <x:v>Partiel</x:v>
      </x:c>
      <x:c r="G6" s="12" t="str">
        <x:v>Solo et coop</x:v>
      </x:c>
      <x:c r="H6" s="12" t="str">
        <x:v>Règles et rapport HTTP v0.2 : références propres et non notées dans les trois lieux. Inspection visuelle GPU encore ouverte.</x:v>
      </x:c>
    </x:row>
    <x:row r="7" ht="40" customHeight="1">
      <x:c r="A7" s="11" t="str">
        <x:v>QA02</x:v>
      </x:c>
      <x:c r="B7" s="11" t="str">
        <x:v>P0</x:v>
      </x:c>
      <x:c r="C7" s="11" t="str">
        <x:v>Visibilité</x:v>
      </x:c>
      <x:c r="D7" s="11" t="str">
        <x:v>Forcer chaque anomalie disponible dans chaque lieu compatible.</x:v>
      </x:c>
      <x:c r="E7" s="11" t="str">
        <x:v>Modification visible ou relevé radio conforme dans la vue affectée ; témoin normal.</x:v>
      </x:c>
      <x:c r="F7" s="13" t="str">
        <x:v>À tester sur GPU</x:v>
      </x:c>
      <x:c r="G7" s="11" t="str">
        <x:v>Trois profils graphiques</x:v>
      </x:c>
      <x:c r="H7" s="11" t="str">
        <x:v>Les tests CPU ne prouvent pas la couleur, l’éclairage, les pixels du miroir ou le framerate.</x:v>
      </x:c>
    </x:row>
    <x:row r="8" ht="51" customHeight="1">
      <x:c r="A8" s="12" t="str">
        <x:v>QA03</x:v>
      </x:c>
      <x:c r="B8" s="12" t="str">
        <x:v>P0</x:v>
      </x:c>
      <x:c r="C8" s="12" t="str">
        <x:v>Relais</x:v>
      </x:c>
      <x:c r="D8" s="12" t="str">
        <x:v>Comparer les codes dans un passage normal puis relay_mismatch.</x:v>
      </x:c>
      <x:c r="E8" s="12" t="str">
        <x:v>Codes identiques au normal, différents dans le tour relationnel.</x:v>
      </x:c>
      <x:c r="F8" s="13" t="str">
        <x:v>Partiel</x:v>
      </x:c>
      <x:c r="G8" s="12" t="str">
        <x:v>Deux clients</x:v>
      </x:c>
      <x:c r="H8" s="12" t="str">
        <x:v>Tests de règles : deux codes distincts pour relay_mismatch, référence commune et aucune autre perception exposée. Lecture réelle de l’afficheur à éprouver sur GPU.</x:v>
      </x:c>
    </x:row>
    <x:row r="9" ht="51" customHeight="1">
      <x:c r="A9" s="11" t="str">
        <x:v>QA04</x:v>
      </x:c>
      <x:c r="B9" s="11" t="str">
        <x:v>P0</x:v>
      </x:c>
      <x:c r="C9" s="11" t="str">
        <x:v>Réinitialisation</x:v>
      </x:c>
      <x:c r="D9" s="11" t="str">
        <x:v>Passer d’un tour à effet à un tour normal.</x:v>
      </x:c>
      <x:c r="E9" s="11" t="str">
        <x:v>Aucune silhouette, trace, fog ou lumière résiduelle.</x:v>
      </x:c>
      <x:c r="F9" s="13" t="str">
        <x:v>Partiel</x:v>
      </x:c>
      <x:c r="G9" s="11" t="str">
        <x:v>Toutes anomalies</x:v>
      </x:c>
      <x:c r="H9" s="11" t="str">
        <x:v>11 suites CPU : 48 cas appliqués puis état de visibilité et matériaux restauré. Pas de validation des pixels ni d’artefacts de shader.</x:v>
      </x:c>
    </x:row>
    <x:row r="10" ht="51" customHeight="1">
      <x:c r="A10" s="12" t="str">
        <x:v>QA05</x:v>
      </x:c>
      <x:c r="B10" s="12" t="str">
        <x:v>P0</x:v>
      </x:c>
      <x:c r="C10" s="12" t="str">
        <x:v>Collisions</x:v>
      </x:c>
      <x:c r="D10" s="12" t="str">
        <x:v>Longer murs, portes, chariot et fauteuils.</x:v>
      </x:c>
      <x:c r="E10" s="12" t="str">
        <x:v>Pas de traversée ni de blocage permanent.</x:v>
      </x:c>
      <x:c r="F10" s="13" t="str">
        <x:v>Partiel</x:v>
      </x:c>
      <x:c r="G10" s="12" t="str">
        <x:v>Clavier et tactile</x:v>
      </x:c>
      <x:c r="H10" s="12" t="str">
        <x:v>Contrôle CPU du podium et des accès latéraux réussi. Parcours complet en clavier, tactile et anomalies mobilières reste à exécuter sur appareil.</x:v>
      </x:c>
    </x:row>
    <x:row r="11" ht="40" customHeight="1">
      <x:c r="A11" s="11" t="str">
        <x:v>QA06</x:v>
      </x:c>
      <x:c r="B11" s="11" t="str">
        <x:v>P0</x:v>
      </x:c>
      <x:c r="C11" s="11" t="str">
        <x:v>Caméra</x:v>
      </x:c>
      <x:c r="D11" s="11" t="str">
        <x:v>Lever et baisser le regard aux angles extrêmes.</x:v>
      </x:c>
      <x:c r="E11" s="11" t="str">
        <x:v>Plafond et sol accessibles sans retournement incontrôlé.</x:v>
      </x:c>
      <x:c r="F11" s="13" t="str">
        <x:v>À exécuter</x:v>
      </x:c>
      <x:c r="G11" s="11" t="str">
        <x:v>Clavier et tactile</x:v>
      </x:c>
      <x:c r="H11" s="11" t="str">
        <x:v>Vérifier ceiling_eyes et floor_trail.</x:v>
      </x:c>
    </x:row>
    <x:row r="12" ht="40" customHeight="1">
      <x:c r="A12" s="12" t="str">
        <x:v>QA07</x:v>
      </x:c>
      <x:c r="B12" s="12" t="str">
        <x:v>P1</x:v>
      </x:c>
      <x:c r="C12" s="12" t="str">
        <x:v>Éclairage</x:v>
      </x:c>
      <x:c r="D12" s="12" t="str">
        <x:v>Activer blackout et red_light avec lampe.</x:v>
      </x:c>
      <x:c r="E12" s="12" t="str">
        <x:v>Le joueur peut se repérer et voter.</x:v>
      </x:c>
      <x:c r="F12" s="13" t="str">
        <x:v>À exécuter</x:v>
      </x:c>
      <x:c r="G12" s="12" t="str">
        <x:v>Toutes qualités</x:v>
      </x:c>
      <x:c r="H12" s="12" t="str">
        <x:v>La lumière de référence revient au passage suivant.</x:v>
      </x:c>
    </x:row>
    <x:row r="13" ht="40" customHeight="1">
      <x:c r="A13" s="11" t="str">
        <x:v>QA08</x:v>
      </x:c>
      <x:c r="B13" s="11" t="str">
        <x:v>P1</x:v>
      </x:c>
      <x:c r="C13" s="11" t="str">
        <x:v>Typographie</x:v>
      </x:c>
      <x:c r="D13" s="11" t="str">
        <x:v>Lire plaques, relais, sortie et message mural.</x:v>
      </x:c>
      <x:c r="E13" s="11" t="str">
        <x:v>Texte lisible à distance normale et zoom système.</x:v>
      </x:c>
      <x:c r="F13" s="13" t="str">
        <x:v>À exécuter</x:v>
      </x:c>
      <x:c r="G13" s="11" t="str">
        <x:v>1080p et mobile</x:v>
      </x:c>
      <x:c r="H13" s="11" t="str">
        <x:v>Pas de glyphes coupés ou de texte inversé involontairement.</x:v>
      </x:c>
    </x:row>
    <x:row r="14" ht="40" customHeight="1">
      <x:c r="A14" s="12" t="str">
        <x:v>QA09</x:v>
      </x:c>
      <x:c r="B14" s="12" t="str">
        <x:v>P0</x:v>
      </x:c>
      <x:c r="C14" s="12" t="str">
        <x:v>Miroir</x:v>
      </x:c>
      <x:c r="D14" s="12" t="str">
        <x:v>Inspecter reflets synchrones puis retard, absence et salut autonome.</x:v>
      </x:c>
      <x:c r="E14" s="12" t="str">
        <x:v>Le corps se distingue du décor et chaque variante conserve sa preuve.</x:v>
      </x:c>
      <x:c r="F14" s="13" t="str">
        <x:v>À tester sur GPU</x:v>
      </x:c>
      <x:c r="G14" s="12" t="str">
        <x:v>Corps local et équipiers</x:v>
      </x:c>
      <x:c r="H14" s="12" t="str">
        <x:v>Tester angles, sources lumineuses, profil bas et partage de scène réfléchi.</x:v>
      </x:c>
    </x:row>
    <x:row r="15" ht="40" customHeight="1">
      <x:c r="A15" s="11" t="str">
        <x:v>QA10</x:v>
      </x:c>
      <x:c r="B15" s="11" t="str">
        <x:v>P1</x:v>
      </x:c>
      <x:c r="C15" s="11" t="str">
        <x:v>Mobilier</x:v>
      </x:c>
      <x:c r="D15" s="11" t="str">
        <x:v>Observer chair_float et phone_float de près.</x:v>
      </x:c>
      <x:c r="E15" s="11" t="str">
        <x:v>Contact au sol/support clairement rompu.</x:v>
      </x:c>
      <x:c r="F15" s="13" t="str">
        <x:v>À exécuter</x:v>
      </x:c>
      <x:c r="G15" s="11" t="str">
        <x:v>Toutes qualités</x:v>
      </x:c>
      <x:c r="H15" s="11" t="str">
        <x:v>Pas de chute hors scène ni d’objet masquant le vote.</x:v>
      </x:c>
    </x:row>
    <x:row r="16" ht="40" customHeight="1">
      <x:c r="A16" s="12" t="str">
        <x:v>QA11</x:v>
      </x:c>
      <x:c r="B16" s="12" t="str">
        <x:v>P1</x:v>
      </x:c>
      <x:c r="C16" s="12" t="str">
        <x:v>Peur</x:v>
      </x:c>
      <x:c r="D16" s="12" t="str">
        <x:v>Observer silhouettes et yeux avec options disponibles.</x:v>
      </x:c>
      <x:c r="E16" s="12" t="str">
        <x:v>Pas de flash rapide ou volume soudain nécessaire à la preuve.</x:v>
      </x:c>
      <x:c r="F16" s="13" t="str">
        <x:v>À exécuter</x:v>
      </x:c>
      <x:c r="G16" s="12" t="str">
        <x:v>Session confort</x:v>
      </x:c>
      <x:c r="H16" s="12" t="str">
        <x:v>Vérifier l’intensité réelle avec plusieurs testeurs.</x:v>
      </x:c>
    </x:row>
    <x:row r="17" ht="40" customHeight="1">
      <x:c r="A17" s="11" t="str">
        <x:v>QA12</x:v>
      </x:c>
      <x:c r="B17" s="11" t="str">
        <x:v>P1</x:v>
      </x:c>
      <x:c r="C17" s="11" t="str">
        <x:v>Brouillard</x:v>
      </x:c>
      <x:c r="D17" s="11" t="str">
        <x:v>Parcourir le couloir affecté par corridor_fog.</x:v>
      </x:c>
      <x:c r="E17" s="11" t="str">
        <x:v>Issue et chemin restent retrouvables.</x:v>
      </x:c>
      <x:c r="F17" s="13" t="str">
        <x:v>À exécuter</x:v>
      </x:c>
      <x:c r="G17" s="11" t="str">
        <x:v>Clavier et tactile</x:v>
      </x:c>
      <x:c r="H17" s="11" t="str">
        <x:v>Le témoin clair peut décrire les repères.</x:v>
      </x:c>
    </x:row>
    <x:row r="18" ht="40" customHeight="1">
      <x:c r="A18" s="12" t="str">
        <x:v>QA13</x:v>
      </x:c>
      <x:c r="B18" s="12" t="str">
        <x:v>P1</x:v>
      </x:c>
      <x:c r="C18" s="12" t="str">
        <x:v>LOD</x:v>
      </x:c>
      <x:c r="D18" s="12" t="str">
        <x:v>Observer les indices à plusieurs distances.</x:v>
      </x:c>
      <x:c r="E18" s="12" t="str">
        <x:v>Aucun indice ne disparaît avant d’être raisonnablement inspectable.</x:v>
      </x:c>
      <x:c r="F18" s="13" t="str">
        <x:v>À exécuter</x:v>
      </x:c>
      <x:c r="G18" s="12" t="str">
        <x:v>Toutes qualités</x:v>
      </x:c>
      <x:c r="H18" s="12" t="str">
        <x:v>Vérifier yeux, empreinte et petites plaques.</x:v>
      </x:c>
    </x:row>
    <x:row r="19" ht="40" customHeight="1">
      <x:c r="A19" s="11" t="str">
        <x:v>QA14</x:v>
      </x:c>
      <x:c r="B19" s="11" t="str">
        <x:v>P1</x:v>
      </x:c>
      <x:c r="C19" s="11" t="str">
        <x:v>Baseline</x:v>
      </x:c>
      <x:c r="D19" s="11" t="str">
        <x:v>Demander à un nouveau joueur de décrire les règles.</x:v>
      </x:c>
      <x:c r="E19" s="11" t="str">
        <x:v>Il explique un témoin isolé, le relais et les tours normaux.</x:v>
      </x:c>
      <x:c r="F19" s="13" t="str">
        <x:v>À exécuter</x:v>
      </x:c>
      <x:c r="G19" s="11" t="str">
        <x:v>Playtest découverte</x:v>
      </x:c>
      <x:c r="H19" s="11" t="str">
        <x:v>Ne pas lui donner la solution en dehors du tutoriel.</x:v>
      </x:c>
    </x:row>
    <x:row r="20" ht="51" customHeight="1">
      <x:c r="A20" s="12" t="str">
        <x:v>QA15</x:v>
      </x:c>
      <x:c r="B20" s="12" t="str">
        <x:v>P0</x:v>
      </x:c>
      <x:c r="C20" s="12" t="str">
        <x:v>Salle</x:v>
      </x:c>
      <x:c r="D20" s="12" t="str">
        <x:v>Créer et rejoindre depuis deux profils indépendants.</x:v>
      </x:c>
      <x:c r="E20" s="12" t="str">
        <x:v>Les deux membres apparaissent réellement.</x:v>
      </x:c>
      <x:c r="F20" s="13" t="str">
        <x:v>Partiel</x:v>
      </x:c>
      <x:c r="G20" s="12" t="str">
        <x:v>Deux navigateurs</x:v>
      </x:c>
      <x:c r="H20" s="12" t="str">
        <x:v>Rapport qa-network-v0.2.json : quatre vrais clients HTTP indépendants, trois arrivées concurrentes. Ne vaut pas quatre fenêtres 3D rendues.</x:v>
      </x:c>
    </x:row>
    <x:row r="21" ht="51" customHeight="1">
      <x:c r="A21" s="11" t="str">
        <x:v>QA16</x:v>
      </x:c>
      <x:c r="B21" s="11" t="str">
        <x:v>P0</x:v>
      </x:c>
      <x:c r="C21" s="11" t="str">
        <x:v>Capacité</x:v>
      </x:c>
      <x:c r="D21" s="11" t="str">
        <x:v>Tenter cinq connexions dont deux simultanées.</x:v>
      </x:c>
      <x:c r="E21" s="11" t="str">
        <x:v>La salle ne dépasse pas quatre membres.</x:v>
      </x:c>
      <x:c r="F21" s="13" t="str">
        <x:v>Réussi</x:v>
      </x:c>
      <x:c r="G21" s="11" t="str">
        <x:v>Clients multiples</x:v>
      </x:c>
      <x:c r="H21" s="11" t="str">
        <x:v>Test D1 v0.2 : quatre membres uniques conservés et cinquième connexion refusée ; contrôles de capacité et autorisation réussis.</x:v>
      </x:c>
    </x:row>
    <x:row r="22" ht="40" customHeight="1">
      <x:c r="A22" s="12" t="str">
        <x:v>QA17</x:v>
      </x:c>
      <x:c r="B22" s="12" t="str">
        <x:v>P0</x:v>
      </x:c>
      <x:c r="C22" s="12" t="str">
        <x:v>Perceptions</x:v>
      </x:c>
      <x:c r="D22" s="12" t="str">
        <x:v>Inspecter les réponses réseau de chaque membre.</x:v>
      </x:c>
      <x:c r="E22" s="12" t="str">
        <x:v>Pas de vérité globale ni de vue d’autrui avant le débrief.</x:v>
      </x:c>
      <x:c r="F22" s="13" t="str">
        <x:v>Réussi</x:v>
      </x:c>
      <x:c r="G22" s="12" t="str">
        <x:v>DevTools / requêtes</x:v>
      </x:c>
      <x:c r="H22" s="12" t="str">
        <x:v>Règles et HTTP v0.2 : projections privées avant chaque verdict, absence de seed/réponse et de perceptions d’autrui.</x:v>
      </x:c>
    </x:row>
    <x:row r="23" ht="40" customHeight="1">
      <x:c r="A23" s="11" t="str">
        <x:v>QA18</x:v>
      </x:c>
      <x:c r="B23" s="11" t="str">
        <x:v>P0</x:v>
      </x:c>
      <x:c r="C23" s="11" t="str">
        <x:v>Authentification</x:v>
      </x:c>
      <x:c r="D23" s="11" t="str">
        <x:v>Envoyer un vote avec jeton absent ou autre membre.</x:v>
      </x:c>
      <x:c r="E23" s="11" t="str">
        <x:v>Action rejetée, score inchangé.</x:v>
      </x:c>
      <x:c r="F23" s="13" t="str">
        <x:v>Réussi</x:v>
      </x:c>
      <x:c r="G23" s="11" t="str">
        <x:v>Requêtes contrôlées</x:v>
      </x:c>
      <x:c r="H23" s="11" t="str">
        <x:v>Tests de règles et D1 : jeton, plafond de salle et actions réservées au responsable contrôlés côté serveur.</x:v>
      </x:c>
    </x:row>
    <x:row r="24" ht="40" customHeight="1">
      <x:c r="A24" s="12" t="str">
        <x:v>QA19</x:v>
      </x:c>
      <x:c r="B24" s="12" t="str">
        <x:v>P0</x:v>
      </x:c>
      <x:c r="C24" s="12" t="str">
        <x:v>Votes divergents</x:v>
      </x:c>
      <x:c r="D24" s="12" t="str">
        <x:v>Un joueur vote Conforme et l’autre Anomalie.</x:v>
      </x:c>
      <x:c r="E24" s="12" t="str">
        <x:v>Le tour reste ouvert, aucun point attribué.</x:v>
      </x:c>
      <x:c r="F24" s="13" t="str">
        <x:v>Réussi</x:v>
      </x:c>
      <x:c r="G24" s="12" t="str">
        <x:v>Deux clients</x:v>
      </x:c>
      <x:c r="H24" s="12" t="str">
        <x:v>Test de domaine : désaccord maintient le tour ouvert ; modification du vote possible jusqu’à unanimité.</x:v>
      </x:c>
    </x:row>
    <x:row r="25" ht="40" customHeight="1">
      <x:c r="A25" s="11" t="str">
        <x:v>QA20</x:v>
      </x:c>
      <x:c r="B25" s="11" t="str">
        <x:v>P0</x:v>
      </x:c>
      <x:c r="C25" s="11" t="str">
        <x:v>Unanimité</x:v>
      </x:c>
      <x:c r="D25" s="11" t="str">
        <x:v>Corriger le vote divergent pour aligner les deux choix.</x:v>
      </x:c>
      <x:c r="E25" s="11" t="str">
        <x:v>Le tour se résout une fois et le résultat est partagé.</x:v>
      </x:c>
      <x:c r="F25" s="13" t="str">
        <x:v>Réussi</x:v>
      </x:c>
      <x:c r="G25" s="11" t="str">
        <x:v>Deux clients</x:v>
      </x:c>
      <x:c r="H25" s="11" t="str">
        <x:v>Tests de domaine et neuf consensus HTTP concurrents : un seul résultat partagé et un seul point par résolution.</x:v>
      </x:c>
    </x:row>
    <x:row r="26" ht="40" customHeight="1">
      <x:c r="A26" s="12" t="str">
        <x:v>QA21</x:v>
      </x:c>
      <x:c r="B26" s="12" t="str">
        <x:v>P0</x:v>
      </x:c>
      <x:c r="C26" s="12" t="str">
        <x:v>Concurrence</x:v>
      </x:c>
      <x:c r="D26" s="12" t="str">
        <x:v>Envoyer deux votes ou transitions au même instant.</x:v>
      </x:c>
      <x:c r="E26" s="12" t="str">
        <x:v>Une seule mutation de score ou de tour.</x:v>
      </x:c>
      <x:c r="F26" s="13" t="str">
        <x:v>Réussi</x:v>
      </x:c>
      <x:c r="G26" s="12" t="str">
        <x:v>Test automatisé</x:v>
      </x:c>
      <x:c r="H26" s="12" t="str">
        <x:v>Rapport D1 v0.2 : neuf tours de consensus concurrents terminent la campagne sans double comptage.</x:v>
      </x:c>
    </x:row>
    <x:row r="27" ht="51" customHeight="1">
      <x:c r="A27" s="11" t="str">
        <x:v>QA22</x:v>
      </x:c>
      <x:c r="B27" s="11" t="str">
        <x:v>P0</x:v>
      </x:c>
      <x:c r="C27" s="11" t="str">
        <x:v>Victoire</x:v>
      </x:c>
      <x:c r="D27" s="11" t="str">
        <x:v>Terminer campagne 3 × 3 puis lieu unique en série de neuf.</x:v>
      </x:c>
      <x:c r="E27" s="11" t="str">
        <x:v>Fin au neuvième diagnostic ; références non comptées.</x:v>
      </x:c>
      <x:c r="F27" s="13" t="str">
        <x:v>Partiel</x:v>
      </x:c>
      <x:c r="G27" s="11" t="str">
        <x:v>Règles et interfaces</x:v>
      </x:c>
      <x:c r="H27" s="11" t="str">
        <x:v>Tests des règles : victoire en lieu unique et campagne. HTTP : campagne de neuf réussites. Écrans 3D et parcours matériel restent à éprouver.</x:v>
      </x:c>
    </x:row>
    <x:row r="28" ht="51" customHeight="1">
      <x:c r="A28" s="12" t="str">
        <x:v>QA23</x:v>
      </x:c>
      <x:c r="B28" s="12" t="str">
        <x:v>P0</x:v>
      </x:c>
      <x:c r="C28" s="12" t="str">
        <x:v>Erreur</x:v>
      </x:c>
      <x:c r="D28" s="12" t="str">
        <x:v>Faire une erreur après 2, 4 puis 7 validations de campagne.</x:v>
      </x:c>
      <x:c r="E28" s="12" t="str">
        <x:v>Retour au palier 0, 3 ou 6 ; erreurs +1.</x:v>
      </x:c>
      <x:c r="F28" s="13" t="str">
        <x:v>Partiel</x:v>
      </x:c>
      <x:c r="G28" s="12" t="str">
        <x:v>Standard et détendu</x:v>
      </x:c>
      <x:c r="H28" s="12" t="str">
        <x:v>Test de règles : erreur après le palier hôtel conserve 3 et le métro courant ; remise à zéro en lieu unique. Tous les parcours UI de frontière restent ouverts.</x:v>
      </x:c>
    </x:row>
    <x:row r="29" ht="51" customHeight="1">
      <x:c r="A29" s="11" t="str">
        <x:v>QA24</x:v>
      </x:c>
      <x:c r="B29" s="11" t="str">
        <x:v>P0</x:v>
      </x:c>
      <x:c r="C29" s="11" t="str">
        <x:v>Défaite</x:v>
      </x:c>
      <x:c r="D29" s="11" t="str">
        <x:v>Faire trois erreurs en standard.</x:v>
      </x:c>
      <x:c r="E29" s="11" t="str">
        <x:v>Session terminée. Aucun quatrième tour actif.</x:v>
      </x:c>
      <x:c r="F29" s="13" t="str">
        <x:v>Partiel</x:v>
      </x:c>
      <x:c r="G29" s="11" t="str">
        <x:v>Règles et UI</x:v>
      </x:c>
      <x:c r="H29" s="11" t="str">
        <x:v>Tests de règles : troisième erreur standard termine ; détendu reste jouable au-delà. Présentation matérielle du bilan non validée ici.</x:v>
      </x:c>
    </x:row>
    <x:row r="30" ht="51" customHeight="1">
      <x:c r="A30" s="12" t="str">
        <x:v>QA25</x:v>
      </x:c>
      <x:c r="B30" s="12" t="str">
        <x:v>P0</x:v>
      </x:c>
      <x:c r="C30" s="12" t="str">
        <x:v>Déconnexion</x:v>
      </x:c>
      <x:c r="D30" s="12" t="str">
        <x:v>Fermer un onglet puis reconnecter avec la même identité.</x:v>
      </x:c>
      <x:c r="E30" s="12" t="str">
        <x:v>État récupérable, aucun vote fantôme bloquant.</x:v>
      </x:c>
      <x:c r="F30" s="13" t="str">
        <x:v>Partiel</x:v>
      </x:c>
      <x:c r="G30" s="12" t="str">
        <x:v>Deux et quatre clients</x:v>
      </x:c>
      <x:c r="H30" s="12" t="str">
        <x:v>Tests v0.2 : témoin absent suspend le verdict et départ nettoie les votes ; HTTP leave révoque le jeton. Essais Internet prolongés encore ouverts.</x:v>
      </x:c>
    </x:row>
    <x:row r="31" ht="40" customHeight="1">
      <x:c r="A31" s="11" t="str">
        <x:v>QA26</x:v>
      </x:c>
      <x:c r="B31" s="11" t="str">
        <x:v>P1</x:v>
      </x:c>
      <x:c r="C31" s="11" t="str">
        <x:v>Chat</x:v>
      </x:c>
      <x:c r="D31" s="11" t="str">
        <x:v>Envoyer texte long, caractères spéciaux et HTML.</x:v>
      </x:c>
      <x:c r="E31" s="11" t="str">
        <x:v>Texte borné, affiché sans exécution.</x:v>
      </x:c>
      <x:c r="F31" s="13" t="str">
        <x:v>À exécuter</x:v>
      </x:c>
      <x:c r="G31" s="11" t="str">
        <x:v>Deux clients</x:v>
      </x:c>
      <x:c r="H31" s="11" t="str">
        <x:v>Éviter de conserver un historique infini.</x:v>
      </x:c>
    </x:row>
    <x:row r="32" ht="40" customHeight="1">
      <x:c r="A32" s="12" t="str">
        <x:v>QA27</x:v>
      </x:c>
      <x:c r="B32" s="12" t="str">
        <x:v>P1</x:v>
      </x:c>
      <x:c r="C32" s="12" t="str">
        <x:v>Ping</x:v>
      </x:c>
      <x:c r="D32" s="12" t="str">
        <x:v>Pointer un objet visible dans des vues différentes.</x:v>
      </x:c>
      <x:c r="E32" s="12" t="str">
        <x:v>Le repère désigne le même emplacement partagé.</x:v>
      </x:c>
      <x:c r="F32" s="13" t="str">
        <x:v>À exécuter</x:v>
      </x:c>
      <x:c r="G32" s="12" t="str">
        <x:v>Deux clients</x:v>
      </x:c>
      <x:c r="H32" s="12" t="str">
        <x:v>Ne pas transmettre automatiquement le diagnostic.</x:v>
      </x:c>
    </x:row>
    <x:row r="33" ht="40" customHeight="1">
      <x:c r="A33" s="11" t="str">
        <x:v>QA28</x:v>
      </x:c>
      <x:c r="B33" s="11" t="str">
        <x:v>P1</x:v>
      </x:c>
      <x:c r="C33" s="11" t="str">
        <x:v>Réseau lent</x:v>
      </x:c>
      <x:c r="D33" s="11" t="str">
        <x:v>Introduire latence, erreurs transitoires et perte de réponse.</x:v>
      </x:c>
      <x:c r="E33" s="11" t="str">
        <x:v>État de connexion lisible, pas de faux succès.</x:v>
      </x:c>
      <x:c r="F33" s="13" t="str">
        <x:v>À exécuter</x:v>
      </x:c>
      <x:c r="G33" s="11" t="str">
        <x:v>Simulation réseau</x:v>
      </x:c>
      <x:c r="H33" s="11" t="str">
        <x:v>L’action finale doit être confirmée par le serveur.</x:v>
      </x:c>
    </x:row>
    <x:row r="34" ht="40" customHeight="1">
      <x:c r="A34" s="12" t="str">
        <x:v>QA29</x:v>
      </x:c>
      <x:c r="B34" s="12" t="str">
        <x:v>P1</x:v>
      </x:c>
      <x:c r="C34" s="12" t="str">
        <x:v>Graine</x:v>
      </x:c>
      <x:c r="D34" s="12" t="str">
        <x:v>Rejouer le même seed avec configuration identique.</x:v>
      </x:c>
      <x:c r="E34" s="12" t="str">
        <x:v>Tirages et attribution déterministes.</x:v>
      </x:c>
      <x:c r="F34" s="13" t="str">
        <x:v>Réussi</x:v>
      </x:c>
      <x:c r="G34" s="12" t="str">
        <x:v>Test automatisé</x:v>
      </x:c>
      <x:c r="H34" s="12" t="str">
        <x:v>Test de règles : mêmes seeds/configurations produisent les mêmes tours, avec passages conformes et anormaux.</x:v>
      </x:c>
    </x:row>
    <x:row r="35" ht="40" customHeight="1">
      <x:c r="A35" s="11" t="str">
        <x:v>QA30</x:v>
      </x:c>
      <x:c r="B35" s="11" t="str">
        <x:v>P1</x:v>
      </x:c>
      <x:c r="C35" s="11" t="str">
        <x:v>Variété</x:v>
      </x:c>
      <x:c r="D35" s="11" t="str">
        <x:v>Échantillonner plusieurs séries longues de tirages.</x:v>
      </x:c>
      <x:c r="E35" s="11" t="str">
        <x:v>Aucune répétition parmi les cinq dernières anomalies.</x:v>
      </x:c>
      <x:c r="F35" s="13" t="str">
        <x:v>À exécuter</x:v>
      </x:c>
      <x:c r="G35" s="11" t="str">
        <x:v>Test automatisé</x:v>
      </x:c>
      <x:c r="H35" s="11" t="str">
        <x:v>Une fréquence observée sur peu de tours n’est pas une preuve du 68 %.</x:v>
      </x:c>
    </x:row>
    <x:row r="36" ht="51" customHeight="1">
      <x:c r="A36" s="12" t="str">
        <x:v>QA31</x:v>
      </x:c>
      <x:c r="B36" s="12" t="str">
        <x:v>P0</x:v>
      </x:c>
      <x:c r="C36" s="12" t="str">
        <x:v>Sans audition</x:v>
      </x:c>
      <x:c r="D36" s="12" t="str">
        <x:v>Couper le son et le micro ; résoudre chaque type radio à l’aide du relevé.</x:v>
      </x:c>
      <x:c r="E36" s="12" t="str">
        <x:v>Les six tests restent interprétables et les autres preuves accessibles.</x:v>
      </x:c>
      <x:c r="F36" s="13" t="str">
        <x:v>Partiel</x:v>
      </x:c>
      <x:c r="G36" s="12" t="str">
        <x:v>Deux clients / solo A-B</x:v>
      </x:c>
      <x:c r="H36" s="12" t="str">
        <x:v>Tests radio : résultats d’étalonnage déterministes indépendants du micro et du réseau. Partie complète jouée par un testeur sans audition encore à faire.</x:v>
      </x:c>
    </x:row>
    <x:row r="37" ht="40" customHeight="1">
      <x:c r="A37" s="11" t="str">
        <x:v>QA32</x:v>
      </x:c>
      <x:c r="B37" s="11" t="str">
        <x:v>P1</x:v>
      </x:c>
      <x:c r="C37" s="11" t="str">
        <x:v>Mobile</x:v>
      </x:c>
      <x:c r="D37" s="11" t="str">
        <x:v>Finir une inspection avec commandes tactiles.</x:v>
      </x:c>
      <x:c r="E37" s="11" t="str">
        <x:v>Déplacement, regard, vote et pause utilisables.</x:v>
      </x:c>
      <x:c r="F37" s="13" t="str">
        <x:v>À exécuter</x:v>
      </x:c>
      <x:c r="G37" s="11" t="str">
        <x:v>Vrais téléphones</x:v>
      </x:c>
      <x:c r="H37" s="11" t="str">
        <x:v>Un émulateur de viewport seul ne prouve pas les gestes.</x:v>
      </x:c>
    </x:row>
    <x:row r="38" ht="40" customHeight="1">
      <x:c r="A38" s="12" t="str">
        <x:v>QA33</x:v>
      </x:c>
      <x:c r="B38" s="12" t="str">
        <x:v>P1</x:v>
      </x:c>
      <x:c r="C38" s="12" t="str">
        <x:v>Redimensionnement</x:v>
      </x:c>
      <x:c r="D38" s="12" t="str">
        <x:v>Changer taille, orientation et plein écran.</x:v>
      </x:c>
      <x:c r="E38" s="12" t="str">
        <x:v>Canvas correctement redimensionné et UI accessible.</x:v>
      </x:c>
      <x:c r="F38" s="13" t="str">
        <x:v>À exécuter</x:v>
      </x:c>
      <x:c r="G38" s="12" t="str">
        <x:v>Desktop et mobile</x:v>
      </x:c>
      <x:c r="H38" s="12" t="str">
        <x:v>Pas de clic masqué par les zones sûres système.</x:v>
      </x:c>
    </x:row>
    <x:row r="39" ht="40" customHeight="1">
      <x:c r="A39" s="11" t="str">
        <x:v>QA34</x:v>
      </x:c>
      <x:c r="B39" s="11" t="str">
        <x:v>P1</x:v>
      </x:c>
      <x:c r="C39" s="11" t="str">
        <x:v>Rendu prolongé</x:v>
      </x:c>
      <x:c r="D39" s="11" t="str">
        <x:v>Jouer 30 minutes et changer souvent d’anomalie.</x:v>
      </x:c>
      <x:c r="E39" s="11" t="str">
        <x:v>Mémoire stable et absence de ralentissement cumulatif.</x:v>
      </x:c>
      <x:c r="F39" s="13" t="str">
        <x:v>À exécuter</x:v>
      </x:c>
      <x:c r="G39" s="11" t="str">
        <x:v>Profil mesuré</x:v>
      </x:c>
      <x:c r="H39" s="11" t="str">
        <x:v>Libérer géométries, textures et listeners au démontage.</x:v>
      </x:c>
    </x:row>
    <x:row r="40" ht="40" customHeight="1">
      <x:c r="A40" s="12" t="str">
        <x:v>QA35</x:v>
      </x:c>
      <x:c r="B40" s="12" t="str">
        <x:v>P1</x:v>
      </x:c>
      <x:c r="C40" s="12" t="str">
        <x:v>Performances</x:v>
      </x:c>
      <x:c r="D40" s="12" t="str">
        <x:v>Mesurer FPS et temps de frame sur matériel identifié.</x:v>
      </x:c>
      <x:c r="E40" s="12" t="str">
        <x:v>Rapport réel par qualité et résolution.</x:v>
      </x:c>
      <x:c r="F40" s="13" t="str">
        <x:v>À exécuter</x:v>
      </x:c>
      <x:c r="G40" s="12" t="str">
        <x:v>PC cible à définir</x:v>
      </x:c>
      <x:c r="H40" s="12" t="str">
        <x:v>Aucun statut 60 FPS validé sans mesure.</x:v>
      </x:c>
    </x:row>
    <x:row r="41" ht="51" customHeight="1">
      <x:c r="A41" s="11" t="str">
        <x:v>QA36</x:v>
      </x:c>
      <x:c r="B41" s="11" t="str">
        <x:v>P1</x:v>
      </x:c>
      <x:c r="C41" s="11" t="str">
        <x:v>Fichier Excel</x:v>
      </x:c>
      <x:c r="D41" s="11" t="str">
        <x:v>Contrôler IDs, couverture runtime, compteurs, statuts, tableaux et rendu.</x:v>
      </x:c>
      <x:c r="E41" s="11" t="str">
        <x:v>120 fiches ; 54 en code ; 66 futures ; 15 feuilles ; 80 parcours QA.</x:v>
      </x:c>
      <x:c r="F41" s="13" t="str">
        <x:v>Réussi</x:v>
      </x:c>
      <x:c r="G41" s="11" t="str">
        <x:v>Artifact Tool / XLSX</x:v>
      </x:c>
      <x:c r="H41" s="11" t="str">
        <x:v>Générateur v0.2.1 : 120 IDs uniques, 54 runtime, 66 prévus ; versions cohérentes, compteurs et pools recalculés, modifications temporaires restaurées et feuilles touchées rendues.</x:v>
      </x:c>
    </x:row>
    <x:row r="42" ht="40" customHeight="1">
      <x:c r="A42" s="12" t="str">
        <x:v>QA37</x:v>
      </x:c>
      <x:c r="B42" s="12" t="str">
        <x:v>P1</x:v>
      </x:c>
      <x:c r="C42" s="12" t="str">
        <x:v>Accès amis</x:v>
      </x:c>
      <x:c r="D42" s="12" t="str">
        <x:v>Ouvrir le déploiement avec un invité autorisé.</x:v>
      </x:c>
      <x:c r="E42" s="12" t="str">
        <x:v>La page charge puis le code de salle fonctionne.</x:v>
      </x:c>
      <x:c r="F42" s="13" t="str">
        <x:v>À exécuter</x:v>
      </x:c>
      <x:c r="G42" s="12" t="str">
        <x:v>Compte invité</x:v>
      </x:c>
      <x:c r="H42" s="12" t="str">
        <x:v>Ne pas confondre accès privé au site et autorisation de salle.</x:v>
      </x:c>
    </x:row>
    <x:row r="43" ht="40" customHeight="1">
      <x:c r="A43" s="11" t="str">
        <x:v>QA38</x:v>
      </x:c>
      <x:c r="B43" s="11" t="str">
        <x:v>P2</x:v>
      </x:c>
      <x:c r="C43" s="11" t="str">
        <x:v>Distribution PC</x:v>
      </x:c>
      <x:c r="D43" s="11" t="str">
        <x:v>Installer sur machine Windows propre.</x:v>
      </x:c>
      <x:c r="E43" s="11" t="str">
        <x:v>Exécutable lancé sans environnement de développement.</x:v>
      </x:c>
      <x:c r="F43" s="13" t="str">
        <x:v>À exécuter</x:v>
      </x:c>
      <x:c r="G43" s="11" t="str">
        <x:v>Futur build natif</x:v>
      </x:c>
      <x:c r="H43" s="11" t="str">
        <x:v>Pas applicable à la version web actuelle.</x:v>
      </x:c>
    </x:row>
    <x:row r="44" ht="40" customHeight="1">
      <x:c r="A44" s="12" t="str">
        <x:v>QA39</x:v>
      </x:c>
      <x:c r="B44" s="12" t="str">
        <x:v>P2</x:v>
      </x:c>
      <x:c r="C44" s="12" t="str">
        <x:v>Extensions futures</x:v>
      </x:c>
      <x:c r="D44" s="12" t="str">
        <x:v>Tester chalet, observatoire, archives et finales après leur production.</x:v>
      </x:c>
      <x:c r="E44" s="12" t="str">
        <x:v>Chaque lieu a référence, repères, preuve et boucle complète.</x:v>
      </x:c>
      <x:c r="F44" s="13" t="str">
        <x:v>À exécuter</x:v>
      </x:c>
      <x:c r="G44" s="12" t="str">
        <x:v>Cartes futures</x:v>
      </x:c>
      <x:c r="H44" s="12" t="str">
        <x:v>Métro et clinique sont déjà des lieux v0.2 ; ils ont leurs propres tests actuels.</x:v>
      </x:c>
    </x:row>
    <x:row r="45" ht="40" customHeight="1">
      <x:c r="A45" s="11" t="str">
        <x:v>QA40</x:v>
      </x:c>
      <x:c r="B45" s="11" t="str">
        <x:v>P2</x:v>
      </x:c>
      <x:c r="C45" s="11" t="str">
        <x:v>Commercialisation</x:v>
      </x:c>
      <x:c r="D45" s="11" t="str">
        <x:v>Valider licences, plateformes, localisation et certification.</x:v>
      </x:c>
      <x:c r="E45" s="11" t="str">
        <x:v>Validation documentée avant vente.</x:v>
      </x:c>
      <x:c r="F45" s="13" t="str">
        <x:v>À exécuter</x:v>
      </x:c>
      <x:c r="G45" s="11" t="str">
        <x:v>Futur lot publication</x:v>
      </x:c>
      <x:c r="H45" s="11" t="str">
        <x:v>La première livraison ne porte pas le statut jeu commercial terminé.</x:v>
      </x:c>
    </x:row>
    <x:row r="46" ht="40" customHeight="1">
      <x:c r="A46" s="12" t="str">
        <x:v>QA41</x:v>
      </x:c>
      <x:c r="B46" s="12" t="str">
        <x:v>P0</x:v>
      </x:c>
      <x:c r="C46" s="12" t="str">
        <x:v>Campagne</x:v>
      </x:c>
      <x:c r="D46" s="12" t="str">
        <x:v>Faire trois réussites à Saint-Clair puis appeler la transition.</x:v>
      </x:c>
      <x:c r="E46" s="12" t="str">
        <x:v>Terminus 09 s’ouvre en référence ; score 3 ; aucune anomalie active.</x:v>
      </x:c>
      <x:c r="F46" s="13" t="str">
        <x:v>Réussi</x:v>
      </x:c>
      <x:c r="G46" s="12" t="str">
        <x:v>Règles / HTTP coop</x:v>
      </x:c>
      <x:c r="H46" s="12" t="str">
        <x:v>Tests de domaine et D1 v0.2 : hôtel → métro après trois bonnes décisions, référence propre et synchronisée avant l’inspection.</x:v>
      </x:c>
    </x:row>
    <x:row r="47" ht="40" customHeight="1">
      <x:c r="A47" s="11" t="str">
        <x:v>QA42</x:v>
      </x:c>
      <x:c r="B47" s="11" t="str">
        <x:v>P0</x:v>
      </x:c>
      <x:c r="C47" s="11" t="str">
        <x:v>Deuxième palier</x:v>
      </x:c>
      <x:c r="D47" s="11" t="str">
        <x:v>Faire trois réussites au métro puis transition.</x:v>
      </x:c>
      <x:c r="E47" s="11" t="str">
        <x:v>Aile blanche s’ouvre en référence ; score 6 ; secteur courant remis à zéro.</x:v>
      </x:c>
      <x:c r="F47" s="13" t="str">
        <x:v>Réussi</x:v>
      </x:c>
      <x:c r="G47" s="11" t="str">
        <x:v>Règles / HTTP coop</x:v>
      </x:c>
      <x:c r="H47" s="11" t="str">
        <x:v>Tests de domaine et D1 v0.2 : métro → clinique au palier 6, référence propre et remise à zéro du secteur courant.</x:v>
      </x:c>
    </x:row>
    <x:row r="48" ht="51" customHeight="1">
      <x:c r="A48" s="12" t="str">
        <x:v>QA43</x:v>
      </x:c>
      <x:c r="B48" s="12" t="str">
        <x:v>P0</x:v>
      </x:c>
      <x:c r="C48" s="12" t="str">
        <x:v>Catalogue par lieu</x:v>
      </x:c>
      <x:c r="D48" s="12" t="str">
        <x:v>Échantillonner les tirages de chaque architecture.</x:v>
      </x:c>
      <x:c r="E48" s="12" t="str">
        <x:v>Aucune porte d’hôtel tirée au métro ni lit clinique tiré à l’hôtel.</x:v>
      </x:c>
      <x:c r="F48" s="13" t="str">
        <x:v>Réussi</x:v>
      </x:c>
      <x:c r="G48" s="12" t="str">
        <x:v>Catalog / règles</x:v>
      </x:c>
      <x:c r="H48" s="12" t="str">
        <x:v>Test de couverture : 54 entrées uniques et toutes observées sur 900 seeds, deux à quatre joueurs et trois niveaux ; chaque tirage appartient au pool du lieu.</x:v>
      </x:c>
    </x:row>
    <x:row r="49" ht="40" customHeight="1">
      <x:c r="A49" s="11" t="str">
        <x:v>QA44</x:v>
      </x:c>
      <x:c r="B49" s="11" t="str">
        <x:v>P0</x:v>
      </x:c>
      <x:c r="C49" s="11" t="str">
        <x:v>Sauvegarde</x:v>
      </x:c>
      <x:c r="D49" s="11" t="str">
        <x:v>Charger sauvegarde v0.1, v0.2 et objets volontairement malformés.</x:v>
      </x:c>
      <x:c r="E49" s="11" t="str">
        <x:v>Migration single hotel ; reprise correcte ; rejet propre des données invalides.</x:v>
      </x:c>
      <x:c r="F49" s="13" t="str">
        <x:v>Réussi</x:v>
      </x:c>
      <x:c r="G49" s="11" t="str">
        <x:v>Tests de domaine</x:v>
      </x:c>
      <x:c r="H49" s="11" t="str">
        <x:v>Test de règles : sauvegarde v0.1 migrée vers single hotel sans perdre la série ; données malformées rejetées.</x:v>
      </x:c>
    </x:row>
    <x:row r="50" ht="51" customHeight="1">
      <x:c r="A50" s="12" t="str">
        <x:v>QA45</x:v>
      </x:c>
      <x:c r="B50" s="12" t="str">
        <x:v>P0</x:v>
      </x:c>
      <x:c r="C50" s="12" t="str">
        <x:v>Signalisation</x:v>
      </x:c>
      <x:c r="D50" s="12" t="str">
        <x:v>Envoyer offre/ICE à membre autorisé puis à cible étrangère ou inexistante.</x:v>
      </x:c>
      <x:c r="E50" s="12" t="str">
        <x:v>Seul le destinataire de la salle peut recevoir ; payload borné.</x:v>
      </x:c>
      <x:c r="F50" s="13" t="str">
        <x:v>Réussi</x:v>
      </x:c>
      <x:c r="G50" s="12" t="str">
        <x:v>Tests de session / HTTP</x:v>
      </x:c>
      <x:c r="H50" s="12" t="str">
        <x:v>Tests radio et D1 : expéditeur autorisé, destinataire privé, epochs périmées rejetées, accusés protégés et configuration ICE authentifiée.</x:v>
      </x:c>
    </x:row>
    <x:row r="51" ht="51" customHeight="1">
      <x:c r="A51" s="11" t="str">
        <x:v>QA46</x:v>
      </x:c>
      <x:c r="B51" s="11" t="str">
        <x:v>P0</x:v>
      </x:c>
      <x:c r="C51" s="11" t="str">
        <x:v>Mode partagé</x:v>
      </x:c>
      <x:c r="D51" s="11" t="str">
        <x:v>Créer une campagne puis un lieu unique avec quatre clients.</x:v>
      </x:c>
      <x:c r="E51" s="11" t="str">
        <x:v>Tous reçoivent le même mode, lieu et palier.</x:v>
      </x:c>
      <x:c r="F51" s="13" t="str">
        <x:v>Partiel</x:v>
      </x:c>
      <x:c r="G51" s="11" t="str">
        <x:v>HTTP réel</x:v>
      </x:c>
      <x:c r="H51" s="11" t="str">
        <x:v>Campagne quatre clients HTTP traversée avec lieux/références synchronisés ; mode unique couvert dans les règles. Vérification graphique multi-appareils restante.</x:v>
      </x:c>
    </x:row>
    <x:row r="52" ht="64" customHeight="1">
      <x:c r="A52" s="12" t="str">
        <x:v>QA47</x:v>
      </x:c>
      <x:c r="B52" s="12" t="str">
        <x:v>P0</x:v>
      </x:c>
      <x:c r="C52" s="12" t="str">
        <x:v>Permission micro</x:v>
      </x:c>
      <x:c r="D52" s="12" t="str">
        <x:v>Ouvrir le menu, rejoindre, écouter puis cliquer Activer micro.</x:v>
      </x:c>
      <x:c r="E52" s="12" t="str">
        <x:v>Aucune capture avant le clic ; refus possible et explication visible.</x:v>
      </x:c>
      <x:c r="F52" s="13" t="str">
        <x:v>Partiel</x:v>
      </x:c>
      <x:c r="G52" s="12" t="str">
        <x:v>Chrome / Firefox / Safari</x:v>
      </x:c>
      <x:c r="H52" s="12" t="str">
        <x:v>19 tests radio réussis avec doubles de périphériques : permission explicite, démarrage muet et arrêt des flux reçus après invalidation. Aucun microphone physique ni indicateur matériel observé.</x:v>
      </x:c>
    </x:row>
    <x:row r="53" ht="51" customHeight="1">
      <x:c r="A53" s="11" t="str">
        <x:v>QA48</x:v>
      </x:c>
      <x:c r="B53" s="11" t="str">
        <x:v>P0</x:v>
      </x:c>
      <x:c r="C53" s="11" t="str">
        <x:v>PTT</x:v>
      </x:c>
      <x:c r="D53" s="11" t="str">
        <x:v>Maintenir puis relâcher T, LB et le bouton tactile.</x:v>
      </x:c>
      <x:c r="E53" s="11" t="str">
        <x:v>Voix reçue uniquement pendant l’émission autorisée.</x:v>
      </x:c>
      <x:c r="F53" s="13" t="str">
        <x:v>Partiel</x:v>
      </x:c>
      <x:c r="G53" s="11" t="str">
        <x:v>Casques et microphones réels</x:v>
      </x:c>
      <x:c r="H53" s="11" t="str">
        <x:v>Tests radio : PTT autorisé, blur, page cachée et disposal ferment l’émission simulée. Tactile, manette et réception sur microphones physiques à éprouver.</x:v>
      </x:c>
    </x:row>
    <x:row r="54" ht="64" customHeight="1">
      <x:c r="A54" s="12" t="str">
        <x:v>QA49</x:v>
      </x:c>
      <x:c r="B54" s="12" t="str">
        <x:v>P0</x:v>
      </x:c>
      <x:c r="C54" s="12" t="str">
        <x:v>Écoute seule</x:v>
      </x:c>
      <x:c r="D54" s="12" t="str">
        <x:v>Refuser son propre micro et activer uniquement l’écoute.</x:v>
      </x:c>
      <x:c r="E54" s="12" t="str">
        <x:v>Le partenaire peut être entendu ; aucune piste micro locale n’est ouverte.</x:v>
      </x:c>
      <x:c r="F54" s="13" t="str">
        <x:v>Partiel</x:v>
      </x:c>
      <x:c r="G54" s="12" t="str">
        <x:v>Deux navigateurs physiques</x:v>
      </x:c>
      <x:c r="H54" s="12" t="str">
        <x:v>Deux onglets réels : activation de l’écoute sans prompt microphone et calibration écrite réussies. Offre/réponse présentes et négociation stable, mais zéro candidat ICE ; aucun flux audio connecté.</x:v>
      </x:c>
    </x:row>
    <x:row r="55" ht="40" customHeight="1">
      <x:c r="A55" s="11" t="str">
        <x:v>QA50</x:v>
      </x:c>
      <x:c r="B55" s="11" t="str">
        <x:v>P0</x:v>
      </x:c>
      <x:c r="C55" s="11" t="str">
        <x:v>Mesh 4 voix</x:v>
      </x:c>
      <x:c r="D55" s="11" t="str">
        <x:v>Connecter quatre joueurs, émettre successivement et simultanément.</x:v>
      </x:c>
      <x:c r="E55" s="11" t="str">
        <x:v>Six liaisons cohérentes ; pas de voix dupliquée ni boucle locale.</x:v>
      </x:c>
      <x:c r="F55" s="13" t="str">
        <x:v>À tester sur appareils</x:v>
      </x:c>
      <x:c r="G55" s="11" t="str">
        <x:v>Quatre microphones / casques</x:v>
      </x:c>
      <x:c r="H55" s="11" t="str">
        <x:v>Mesurer intelligibilité et temps de rétablissement après départ.</x:v>
      </x:c>
    </x:row>
    <x:row r="56" ht="51" customHeight="1">
      <x:c r="A56" s="12" t="str">
        <x:v>QA51</x:v>
      </x:c>
      <x:c r="B56" s="12" t="str">
        <x:v>P0</x:v>
      </x:c>
      <x:c r="C56" s="12" t="str">
        <x:v>HTTPS et LAN</x:v>
      </x:c>
      <x:c r="D56" s="12" t="str">
        <x:v>Tester localhost, IP LAN HTTP et LAN HTTPS avec certificat accepté.</x:v>
      </x:c>
      <x:c r="E56" s="12" t="str">
        <x:v>Micro autorisé seulement en contexte sécurisé ; message explicite sinon.</x:v>
      </x:c>
      <x:c r="F56" s="13" t="str">
        <x:v>Partiel</x:v>
      </x:c>
      <x:c r="G56" s="12" t="str">
        <x:v>Navigateurs / certificats</x:v>
      </x:c>
      <x:c r="H56" s="12" t="str">
        <x:v>19 tests radio incluent une origine LAN non sécurisée : indisponibilité technique annoncée, aucun prompt micro ni altération de preuve. Certificat LAN réel non testé.</x:v>
      </x:c>
    </x:row>
    <x:row r="57" ht="40" customHeight="1">
      <x:c r="A57" s="11" t="str">
        <x:v>QA52</x:v>
      </x:c>
      <x:c r="B57" s="11" t="str">
        <x:v>P0</x:v>
      </x:c>
      <x:c r="C57" s="11" t="str">
        <x:v>TURN</x:v>
      </x:c>
      <x:c r="D57" s="11" t="str">
        <x:v>Tester deux NAT distincts et forcer iceTransportPolicy relay en recette.</x:v>
      </x:c>
      <x:c r="E57" s="11" t="str">
        <x:v>Audio réellement reçu via candidat relay ; credentials valides.</x:v>
      </x:c>
      <x:c r="F57" s="13" t="str">
        <x:v>À exécuter</x:v>
      </x:c>
      <x:c r="G57" s="11" t="str">
        <x:v>Relais TURN déployé</x:v>
      </x:c>
      <x:c r="H57" s="11" t="str">
        <x:v>Aucun secret dans dépôt ; budget et expiration à définir pour la production.</x:v>
      </x:c>
    </x:row>
    <x:row r="58" ht="51" customHeight="1">
      <x:c r="A58" s="12" t="str">
        <x:v>QA53</x:v>
      </x:c>
      <x:c r="B58" s="12" t="str">
        <x:v>P0</x:v>
      </x:c>
      <x:c r="C58" s="12" t="str">
        <x:v>Radio 1–2–3</x:v>
      </x:c>
      <x:c r="D58" s="12" t="str">
        <x:v>Étalonner avec effet absent puis chacun des six IDs radio.</x:v>
      </x:c>
      <x:c r="E58" s="12" t="str">
        <x:v>Trace écrite et signal synthétique correspondent au contrat de chaque variante.</x:v>
      </x:c>
      <x:c r="F58" s="13" t="str">
        <x:v>Partiel</x:v>
      </x:c>
      <x:c r="G58" s="12" t="str">
        <x:v>Code / WebAudio / écoute humaine</x:v>
      </x:c>
      <x:c r="H58" s="12" t="str">
        <x:v>Tests radio : les six profils ont des preuves locales déterministes et relevés distincts. L’écoute réelle de chaque signal synthétique reste nécessaire.</x:v>
      </x:c>
    </x:row>
    <x:row r="59" ht="51" customHeight="1">
      <x:c r="A59" s="11" t="str">
        <x:v>QA54</x:v>
      </x:c>
      <x:c r="B59" s="11" t="str">
        <x:v>P0</x:v>
      </x:c>
      <x:c r="C59" s="11" t="str">
        <x:v>Panne distincte</x:v>
      </x:c>
      <x:c r="D59" s="11" t="str">
        <x:v>Couper le réseau vocal, refuser le micro et garder le tour normal.</x:v>
      </x:c>
      <x:c r="E59" s="11" t="str">
        <x:v>Aucune erreur technique ne transforme la vérité du passage.</x:v>
      </x:c>
      <x:c r="F59" s="13" t="str">
        <x:v>Partiel</x:v>
      </x:c>
      <x:c r="G59" s="11" t="str">
        <x:v>Injection de panne / texte</x:v>
      </x:c>
      <x:c r="H59" s="11" t="str">
        <x:v>Les tests établissent l’indépendance de la preuve au consentement et au transport. Scénario complet de coupure pendant une session vocale physique restant.</x:v>
      </x:c>
    </x:row>
    <x:row r="60" ht="64" customHeight="1">
      <x:c r="A60" s="12" t="str">
        <x:v>QA55</x:v>
      </x:c>
      <x:c r="B60" s="12" t="str">
        <x:v>P0</x:v>
      </x:c>
      <x:c r="C60" s="12" t="str">
        <x:v>Reset audio</x:v>
      </x:c>
      <x:c r="D60" s="12" t="str">
        <x:v>Alterner les six effets puis un tour normal et quitter.</x:v>
      </x:c>
      <x:c r="E60" s="12" t="str">
        <x:v>Pas de delay, bruit, modulation ou porteuse résiduelle ; nœuds libérés.</x:v>
      </x:c>
      <x:c r="F60" s="13" t="str">
        <x:v>Partiel</x:v>
      </x:c>
      <x:c r="G60" s="12" t="str">
        <x:v>WebAudio et inspection code</x:v>
      </x:c>
      <x:c r="H60" s="12" t="str">
        <x:v>Correctif v0.2.1 : les demandes micro invalidées ne peuvent plus installer un flux tardif ; les pistes reçues sont arrêtées. Nettoyage vérifié avec doubles de périphériques. Queues sonores et matériel restent à écouter.</x:v>
      </x:c>
    </x:row>
    <x:row r="61" ht="51" customHeight="1">
      <x:c r="A61" s="11" t="str">
        <x:v>QA56</x:v>
      </x:c>
      <x:c r="B61" s="11" t="str">
        <x:v>P0</x:v>
      </x:c>
      <x:c r="C61" s="11" t="str">
        <x:v>Reflet absent</x:v>
      </x:c>
      <x:c r="D61" s="11" t="str">
        <x:v>Activer reflection_absent et regarder la surface.</x:v>
      </x:c>
      <x:c r="E61" s="11" t="str">
        <x:v>Seul le corps local manque ; murs, accessoires et cadre restent réfléchis.</x:v>
      </x:c>
      <x:c r="F61" s="13" t="str">
        <x:v>À tester sur GPU</x:v>
      </x:c>
      <x:c r="G61" s="11" t="str">
        <x:v>Trois lieux / profils</x:v>
      </x:c>
      <x:c r="H61" s="11" t="str">
        <x:v>Sélection CPU de la couche de corps absente vérifiée, sans récursion. La surface réfléchie et les pixels du décor n’ont pas été observés sur GPU.</x:v>
      </x:c>
    </x:row>
    <x:row r="62" ht="51" customHeight="1">
      <x:c r="A62" s="12" t="str">
        <x:v>QA57</x:v>
      </x:c>
      <x:c r="B62" s="12" t="str">
        <x:v>P0</x:v>
      </x:c>
      <x:c r="C62" s="12" t="str">
        <x:v>Reflet retardé</x:v>
      </x:c>
      <x:c r="D62" s="12" t="str">
        <x:v>Marcher puis s’arrêter devant le miroir.</x:v>
      </x:c>
      <x:c r="E62" s="12" t="str">
        <x:v>Retard d’environ une seconde stable dans la vue affectée ; témoin synchrone.</x:v>
      </x:c>
      <x:c r="F62" s="13" t="str">
        <x:v>À tester sur GPU</x:v>
      </x:c>
      <x:c r="G62" s="12" t="str">
        <x:v>Capture vidéo réelle</x:v>
      </x:c>
      <x:c r="H62" s="12" t="str">
        <x:v>11e suite CPU : retard du corps réfléchi proche d’une seconde et parcours des trois lieux réussis. Retard perçu et lisibilité du mouvement restent à capturer sur GPU réel.</x:v>
      </x:c>
    </x:row>
    <x:row r="63" ht="51" customHeight="1">
      <x:c r="A63" s="11" t="str">
        <x:v>QA58</x:v>
      </x:c>
      <x:c r="B63" s="11" t="str">
        <x:v>P0</x:v>
      </x:c>
      <x:c r="C63" s="11" t="str">
        <x:v>Reflet autonome</x:v>
      </x:c>
      <x:c r="D63" s="11" t="str">
        <x:v>Rester immobile devant reflection_independent.</x:v>
      </x:c>
      <x:c r="E63" s="11" t="str">
        <x:v>Le reflet salue de la main droite et bouge légèrement la tête indépendamment.</x:v>
      </x:c>
      <x:c r="F63" s="13" t="str">
        <x:v>À tester sur GPU</x:v>
      </x:c>
      <x:c r="G63" s="11" t="str">
        <x:v>Capture vidéo réelle</x:v>
      </x:c>
      <x:c r="H63" s="11" t="str">
        <x:v>Geste autonome intégré et effet inclus dans les 48 cas appliqués/reset. Comparaison visuelle de la main et du corps encore à enregistrer.</x:v>
      </x:c>
    </x:row>
    <x:row r="64" ht="40" customHeight="1">
      <x:c r="A64" s="12" t="str">
        <x:v>QA59</x:v>
      </x:c>
      <x:c r="B64" s="12" t="str">
        <x:v>P1</x:v>
      </x:c>
      <x:c r="C64" s="12" t="str">
        <x:v>Inspecteurs</x:v>
      </x:c>
      <x:c r="D64" s="12" t="str">
        <x:v>Observer modèle local, équipiers, mannequin, double et ombre.</x:v>
      </x:c>
      <x:c r="E64" s="12" t="str">
        <x:v>Identité et nombre réels dans l’UI conservés ; anomalie privée dans la scène.</x:v>
      </x:c>
      <x:c r="F64" s="13" t="str">
        <x:v>À tester sur GPU</x:v>
      </x:c>
      <x:c r="G64" s="12" t="str">
        <x:v>Deux et quatre clients</x:v>
      </x:c>
      <x:c r="H64" s="12" t="str">
        <x:v>Pas de faux membre, collision punitive ou animation résiduelle.</x:v>
      </x:c>
    </x:row>
    <x:row r="65" ht="51" customHeight="1">
      <x:c r="A65" s="11" t="str">
        <x:v>QA60</x:v>
      </x:c>
      <x:c r="B65" s="11" t="str">
        <x:v>P1</x:v>
      </x:c>
      <x:c r="C65" s="11" t="str">
        <x:v>Surfaces réfléchies</x:v>
      </x:c>
      <x:c r="D65" s="11" t="str">
        <x:v>Changer qualité, angle et orientation sur miroirs et vitres.</x:v>
      </x:c>
      <x:c r="E65" s="11" t="str">
        <x:v>Pas de texture vide, retournement non voulu, clipping ou fuite de couche privée.</x:v>
      </x:c>
      <x:c r="F65" s="13" t="str">
        <x:v>À tester sur GPU</x:v>
      </x:c>
      <x:c r="G65" s="11" t="str">
        <x:v>GPU desktop et mobile</x:v>
      </x:c>
      <x:c r="H65" s="11" t="str">
        <x:v>Six surfaces planaires, deux actives par lieu ; pass sans récursion contrôlé en CPU. Exactitude visuelle, transparence et coût GPU non mesurés.</x:v>
      </x:c>
    </x:row>
    <x:row r="66" ht="40" customHeight="1">
      <x:c r="A66" s="12" t="str">
        <x:v>QA61</x:v>
      </x:c>
      <x:c r="B66" s="12" t="str">
        <x:v>P1</x:v>
      </x:c>
      <x:c r="C66" s="12" t="str">
        <x:v>Métro normal</x:v>
      </x:c>
      <x:c r="D66" s="12" t="str">
        <x:v>Lire panneau, rails et signal lors de la référence.</x:v>
      </x:c>
      <x:c r="E66" s="12" t="str">
        <x:v>Quai vide ; QUAI 09 / SERVICE TERMINÉ ; signal vert ; rails droits.</x:v>
      </x:c>
      <x:c r="F66" s="13" t="str">
        <x:v>À tester sur GPU</x:v>
      </x:c>
      <x:c r="G66" s="12" t="str">
        <x:v>Baseline visuelle et carnet</x:v>
      </x:c>
      <x:c r="H66" s="12" t="str">
        <x:v>Le nom Terminus 09 doit être cohérent dans menu, niveau et Excel.</x:v>
      </x:c>
    </x:row>
    <x:row r="67" ht="40" customHeight="1">
      <x:c r="A67" s="11" t="str">
        <x:v>QA62</x:v>
      </x:c>
      <x:c r="B67" s="11" t="str">
        <x:v>P1</x:v>
      </x:c>
      <x:c r="C67" s="11" t="str">
        <x:v>Clinique normale</x:v>
      </x:c>
      <x:c r="D67" s="11" t="str">
        <x:v>Inspecter lit, moniteur, paravent et fauteuil.</x:v>
      </x:c>
      <x:c r="E67" s="11" t="str">
        <x:v>Un lit au sol ; FC 072 / RYTHME SINUSAL ; aucun mouvement ni silhouette.</x:v>
      </x:c>
      <x:c r="F67" s="13" t="str">
        <x:v>À tester sur GPU</x:v>
      </x:c>
      <x:c r="G67" s="11" t="str">
        <x:v>Baseline visuelle et carnet</x:v>
      </x:c>
      <x:c r="H67" s="11" t="str">
        <x:v>Le nom Aile blanche doit être cohérent dans tous les écrans.</x:v>
      </x:c>
    </x:row>
    <x:row r="68" ht="40" customHeight="1">
      <x:c r="A68" s="12" t="str">
        <x:v>QA63</x:v>
      </x:c>
      <x:c r="B68" s="12" t="str">
        <x:v>P1</x:v>
      </x:c>
      <x:c r="C68" s="12" t="str">
        <x:v>Ambiances</x:v>
      </x:c>
      <x:c r="D68" s="12" t="str">
        <x:v>Passer hôtel → métro → clinique avec la même écoute.</x:v>
      </x:c>
      <x:c r="E68" s="12" t="str">
        <x:v>Ambiance et pas changent ; aucune boucle sonore précédente ne reste superposée.</x:v>
      </x:c>
      <x:c r="F68" s="13" t="str">
        <x:v>À tester sur appareils</x:v>
      </x:c>
      <x:c r="G68" s="12" t="str">
        <x:v>Casque / haut-parleurs</x:v>
      </x:c>
      <x:c r="H68" s="12" t="str">
        <x:v>L’ambiance ne couvre pas les mots des partenaires.</x:v>
      </x:c>
    </x:row>
    <x:row r="69" ht="40" customHeight="1">
      <x:c r="A69" s="11" t="str">
        <x:v>QA64</x:v>
      </x:c>
      <x:c r="B69" s="11" t="str">
        <x:v>P1</x:v>
      </x:c>
      <x:c r="C69" s="11" t="str">
        <x:v>Commandes manette</x:v>
      </x:c>
      <x:c r="D69" s="11" t="str">
        <x:v>Essayer sticks et A / X / Y / LB / View / Menu.</x:v>
      </x:c>
      <x:c r="E69" s="11" t="str">
        <x:v>Chaque action arrive une fois ; relâcher LB coupe PTT.</x:v>
      </x:c>
      <x:c r="F69" s="13" t="str">
        <x:v>À tester sur appareils</x:v>
      </x:c>
      <x:c r="G69" s="11" t="str">
        <x:v>Manette physique</x:v>
      </x:c>
      <x:c r="H69" s="11" t="str">
        <x:v>La navigation des menus non implémentée est documentée explicitement.</x:v>
      </x:c>
    </x:row>
    <x:row r="70" ht="40" customHeight="1">
      <x:c r="A70" s="12" t="str">
        <x:v>QA65</x:v>
      </x:c>
      <x:c r="B70" s="12" t="str">
        <x:v>P1</x:v>
      </x:c>
      <x:c r="C70" s="12" t="str">
        <x:v>Multitouch</x:v>
      </x:c>
      <x:c r="D70" s="12" t="str">
        <x:v>Se déplacer, regarder et maintenir talkie ensemble.</x:v>
      </x:c>
      <x:c r="E70" s="12" t="str">
        <x:v>Pas de commande coincée ni perte du bouton de vote.</x:v>
      </x:c>
      <x:c r="F70" s="13" t="str">
        <x:v>À tester sur appareils</x:v>
      </x:c>
      <x:c r="G70" s="12" t="str">
        <x:v>iOS et Android réels</x:v>
      </x:c>
      <x:c r="H70" s="12" t="str">
        <x:v>Tester annulation système et changement d’orientation.</x:v>
      </x:c>
    </x:row>
    <x:row r="71" ht="40" customHeight="1">
      <x:c r="A71" s="11" t="str">
        <x:v>QA66</x:v>
      </x:c>
      <x:c r="B71" s="11" t="str">
        <x:v>P1</x:v>
      </x:c>
      <x:c r="C71" s="11" t="str">
        <x:v>Charge des reflets</x:v>
      </x:c>
      <x:c r="D71" s="11" t="str">
        <x:v>Enregistrer temps CPU/GPU, draw calls et mémoire avec quatre corps.</x:v>
      </x:c>
      <x:c r="E71" s="11" t="str">
        <x:v>Profil matériel documenté ; aucune cible 60 FPS annoncée sans mesure.</x:v>
      </x:c>
      <x:c r="F71" s="13" t="str">
        <x:v>À tester sur GPU</x:v>
      </x:c>
      <x:c r="G71" s="11" t="str">
        <x:v>Parcours reproductible</x:v>
      </x:c>
      <x:c r="H71" s="11" t="str">
        <x:v>Les comptes de triangles incluent ou excluent les effets cachés explicitement.</x:v>
      </x:c>
    </x:row>
    <x:row r="72" ht="40" customHeight="1">
      <x:c r="A72" s="12" t="str">
        <x:v>QA67</x:v>
      </x:c>
      <x:c r="B72" s="12" t="str">
        <x:v>P1</x:v>
      </x:c>
      <x:c r="C72" s="12" t="str">
        <x:v>Peurs corporelles</x:v>
      </x:c>
      <x:c r="D72" s="12" t="str">
        <x:v>Jouer les changements de corps et gestes avec un groupe nouveau.</x:v>
      </x:c>
      <x:c r="E72" s="12" t="str">
        <x:v>Les témoins décrivent le fait sans confondre faux membre et interface fiable.</x:v>
      </x:c>
      <x:c r="F72" s="13" t="str">
        <x:v>À exécuter</x:v>
      </x:c>
      <x:c r="G72" s="12" t="str">
        <x:v>Playtest de compréhension</x:v>
      </x:c>
      <x:c r="H72" s="12" t="str">
        <x:v>Ajuster lumière et durée selon erreurs observées, pas seulement l’intention.</x:v>
      </x:c>
    </x:row>
    <x:row r="73" ht="51" customHeight="1">
      <x:c r="A73" s="11" t="str">
        <x:v>QA68</x:v>
      </x:c>
      <x:c r="B73" s="11" t="str">
        <x:v>P1</x:v>
      </x:c>
      <x:c r="C73" s="11" t="str">
        <x:v>Accessibilité radio</x:v>
      </x:c>
      <x:c r="D73" s="11" t="str">
        <x:v>Jouer sans audition, puis au clavier seul dans les panneaux.</x:v>
      </x:c>
      <x:c r="E73" s="11" t="str">
        <x:v>Trace lisible, focus visible, diagnostic encore volontaire.</x:v>
      </x:c>
      <x:c r="F73" s="13" t="str">
        <x:v>Partiel</x:v>
      </x:c>
      <x:c r="G73" s="11" t="str">
        <x:v>Test utilisateur et UI</x:v>
      </x:c>
      <x:c r="H73" s="11" t="str">
        <x:v>Les relevés déterministes sont couverts par tests ; focus, compréhension et jouabilité sans audition demandent encore une recette utilisateur.</x:v>
      </x:c>
    </x:row>
    <x:row r="74" ht="40" customHeight="1">
      <x:c r="A74" s="12" t="str">
        <x:v>QA69</x:v>
      </x:c>
      <x:c r="B74" s="12" t="str">
        <x:v>P1</x:v>
      </x:c>
      <x:c r="C74" s="12" t="str">
        <x:v>Provenance</x:v>
      </x:c>
      <x:c r="D74" s="12" t="str">
        <x:v>Auditer sources procédurales et dépendances redistribuées.</x:v>
      </x:c>
      <x:c r="E74" s="12" t="str">
        <x:v>Aucun asset extrait d’un jeu ; notices et licences incluses.</x:v>
      </x:c>
      <x:c r="F74" s="13" t="str">
        <x:v>À exécuter</x:v>
      </x:c>
      <x:c r="G74" s="12" t="str">
        <x:v>Source et archive</x:v>
      </x:c>
      <x:c r="H74" s="12" t="str">
        <x:v>Le registre devra évoluer si des assets externes sont ajoutés.</x:v>
      </x:c>
    </x:row>
    <x:row r="75" ht="40" customHeight="1">
      <x:c r="A75" s="11" t="str">
        <x:v>QA70</x:v>
      </x:c>
      <x:c r="B75" s="11" t="str">
        <x:v>P1</x:v>
      </x:c>
      <x:c r="C75" s="11" t="str">
        <x:v>GitHub / livraison</x:v>
      </x:c>
      <x:c r="D75" s="11" t="str">
        <x:v>Cloner le dépôt livré puis suivre les instructions de lancement.</x:v>
      </x:c>
      <x:c r="E75" s="11" t="str">
        <x:v>Source, Excel, JSON et édition autonome correspondent à la même version.</x:v>
      </x:c>
      <x:c r="F75" s="13" t="str">
        <x:v>À exécuter</x:v>
      </x:c>
      <x:c r="G75" s="11" t="str">
        <x:v>Clone propre</x:v>
      </x:c>
      <x:c r="H75" s="11" t="str">
        <x:v>Ne pas inclure tokens, certificats privés, caches ou node_modules.</x:v>
      </x:c>
    </x:row>
    <x:row r="76" ht="40" customHeight="1">
      <x:c r="A76" s="12" t="str">
        <x:v>QA71</x:v>
      </x:c>
      <x:c r="B76" s="12" t="str">
        <x:v>P1</x:v>
      </x:c>
      <x:c r="C76" s="12" t="str">
        <x:v>Session prolongée voix</x:v>
      </x:c>
      <x:c r="D76" s="12" t="str">
        <x:v>Jouer 30 minutes en changeant salle et lieu.</x:v>
      </x:c>
      <x:c r="E76" s="12" t="str">
        <x:v>Pas de pistes, PeerConnections ou AudioNodes abandonnés.</x:v>
      </x:c>
      <x:c r="F76" s="13" t="str">
        <x:v>À tester sur appareils</x:v>
      </x:c>
      <x:c r="G76" s="12" t="str">
        <x:v>Profil mémoire / écoute</x:v>
      </x:c>
      <x:c r="H76" s="12" t="str">
        <x:v>Inclure retour de veille et déconnexion d’un périphérique audio.</x:v>
      </x:c>
    </x:row>
    <x:row r="77" ht="40" customHeight="1">
      <x:c r="A77" s="11" t="str">
        <x:v>QA72</x:v>
      </x:c>
      <x:c r="B77" s="11" t="str">
        <x:v>P2</x:v>
      </x:c>
      <x:c r="C77" s="11" t="str">
        <x:v>Qualité finale</x:v>
      </x:c>
      <x:c r="D77" s="11" t="str">
        <x:v>Valider assets sculptés, lumière, animation, mix et navigation sur cibles choisies.</x:v>
      </x:c>
      <x:c r="E77" s="11" t="str">
        <x:v>Critères mesurés et signés avant commercialisation.</x:v>
      </x:c>
      <x:c r="F77" s="13" t="str">
        <x:v>À exécuter</x:v>
      </x:c>
      <x:c r="G77" s="11" t="str">
        <x:v>Production future</x:v>
      </x:c>
      <x:c r="H77" s="11" t="str">
        <x:v>Le présent build ne constitue pas une certification Steam ou console.</x:v>
      </x:c>
    </x:row>
    <x:row r="78" ht="51" customHeight="1">
      <x:c r="A78" s="12" t="str">
        <x:v>QA73</x:v>
      </x:c>
      <x:c r="B78" s="12" t="str">
        <x:v>P0</x:v>
      </x:c>
      <x:c r="C78" s="12" t="str">
        <x:v>Relations SYNCHRO</x:v>
      </x:c>
      <x:c r="D78" s="12" t="str">
        <x:v>Comparer flèche et heure sur deux clients normaux puis affectés.</x:v>
      </x:c>
      <x:c r="E78" s="12" t="str">
        <x:v>Valeurs égales au normal, différentes si leur effet relationnel est actif.</x:v>
      </x:c>
      <x:c r="F78" s="13" t="str">
        <x:v>Partiel</x:v>
      </x:c>
      <x:c r="G78" s="12" t="str">
        <x:v>Règles / HTTP / GPU</x:v>
      </x:c>
      <x:c r="H78" s="12" t="str">
        <x:v>Test de couverture des 54 IDs : paired_arrow et paired_clock distribuent deux valeurs privées distinctes sans effets révélateurs. Lecture des panneaux sur GPU restante.</x:v>
      </x:c>
    </x:row>
    <x:row r="79" ht="51" customHeight="1">
      <x:c r="A79" s="11" t="str">
        <x:v>QA74</x:v>
      </x:c>
      <x:c r="B79" s="11" t="str">
        <x:v>P1</x:v>
      </x:c>
      <x:c r="C79" s="11" t="str">
        <x:v>Huit promotions</x:v>
      </x:c>
      <x:c r="D79" s="11" t="str">
        <x:v>Observer plafond, mur, bagage, tissu, lit et ombre de rame ; comparer les panneaux.</x:v>
      </x:c>
      <x:c r="E79" s="11" t="str">
        <x:v>Preuve persistante propre à chaque fiche ; aucun objet d’un autre lieu ne fuit.</x:v>
      </x:c>
      <x:c r="F79" s="13" t="str">
        <x:v>À tester sur GPU</x:v>
      </x:c>
      <x:c r="G79" s="11" t="str">
        <x:v>Trois lieux et profils</x:v>
      </x:c>
      <x:c r="H79" s="11" t="str">
        <x:v>Les huit cas font partie des 48 effets visuels appliqués/reset et repères raycast en CPU. Leur apparence finale sur écran n’est pas certifiée.</x:v>
      </x:c>
    </x:row>
    <x:row r="80" ht="64" customHeight="1">
      <x:c r="A80" s="12" t="str">
        <x:v>QA75</x:v>
      </x:c>
      <x:c r="B80" s="12" t="str">
        <x:v>P1</x:v>
      </x:c>
      <x:c r="C80" s="12" t="str">
        <x:v>Export GLB</x:v>
      </x:c>
      <x:c r="D80" s="12" t="str">
        <x:v>Exporter l’inspecteur puis relire le binaire avec GLTFLoader.</x:v>
      </x:c>
      <x:c r="E80" s="12" t="str">
        <x:v>Géométrie finie, articulations présentes et trois clips chargeables.</x:v>
      </x:c>
      <x:c r="F80" s="13" t="str">
        <x:v>Réussi</x:v>
      </x:c>
      <x:c r="G80" s="12" t="str">
        <x:v>GLB original / CPU</x:v>
      </x:c>
      <x:c r="H80" s="12" t="str">
        <x:v>GLTFExporter → GLTFLoader réussi : 52 444 triangles, 51 meshes, 12 nœuds articulés, trois clips et sommets finis. Manifeste public/models/inspecteur-parallaxe.manifest.json ; aucun rendu GPU certifié.</x:v>
      </x:c>
    </x:row>
    <x:row r="81" ht="64" customHeight="1">
      <x:c r="A81" s="11" t="str">
        <x:v>QA76</x:v>
      </x:c>
      <x:c r="B81" s="11" t="str">
        <x:v>P0</x:v>
      </x:c>
      <x:c r="C81" s="11" t="str">
        <x:v>Négociation navigateur</x:v>
      </x:c>
      <x:c r="D81" s="11" t="str">
        <x:v>Ouvrir deux onglets réels et activer l’écoute sans microphone.</x:v>
      </x:c>
      <x:c r="E81" s="11" t="str">
        <x:v>Offre/réponse, candidats ICE puis liaison connectée ; aucune permission micro requise pour écouter.</x:v>
      </x:c>
      <x:c r="F81" s="13" t="str">
        <x:v>Partiel</x:v>
      </x:c>
      <x:c r="G81" s="11" t="str">
        <x:v>Deux onglets réels</x:v>
      </x:c>
      <x:c r="H81" s="11" t="str">
        <x:v>Deux onglets réels : salon, écoute sans permission micro, calibration écrite et échange offre/réponse réussis ; négociation stable. ICE terminé avec zéro candidat local/distant : liaison audio non établie. Aucun flux vocal ni micro physique validé.</x:v>
      </x:c>
    </x:row>
    <x:row r="82" ht="64" customHeight="1">
      <x:c r="A82" s="12" t="str">
        <x:v>QA77</x:v>
      </x:c>
      <x:c r="B82" s="12" t="str">
        <x:v>P0</x:v>
      </x:c>
      <x:c r="C82" s="12" t="str">
        <x:v>Permission après arrêt</x:v>
      </x:c>
      <x:c r="D82" s="12" t="str">
        <x:v>Différer getUserMedia, éteindre la radio ou couper le micro seul puis résoudre l’autorisation avec un flux.</x:v>
      </x:c>
      <x:c r="E82" s="12" t="str">
        <x:v>Chaque piste tardive est stoppée ; aucun flux local retenu. L’écoute seule reste active si elle a été conservée.</x:v>
      </x:c>
      <x:c r="F82" s="13" t="str">
        <x:v>Réussi</x:v>
      </x:c>
      <x:c r="G82" s="12" t="str">
        <x:v>Tests radio à promesse différée</x:v>
      </x:c>
      <x:c r="H82" s="12" t="str">
        <x:v>Deux tests réussis : désactiver toute la radio ou le micro seul avant résolution. La piste tardive est stoppée ; le micro reste éteint et l’écoute choisie est conservée. Promesses et flux simulés.</x:v>
      </x:c>
    </x:row>
    <x:row r="83" ht="64" customHeight="1">
      <x:c r="A83" s="11" t="str">
        <x:v>QA78</x:v>
      </x:c>
      <x:c r="B83" s="11" t="str">
        <x:v>P0</x:v>
      </x:c>
      <x:c r="C83" s="11" t="str">
        <x:v>Permission après sortie</x:v>
      </x:c>
      <x:c r="D83" s="11" t="str">
        <x:v>Différer getUserMedia, détruire la radio / quitter puis résoudre la permission.</x:v>
      </x:c>
      <x:c r="E83" s="11" t="str">
        <x:v>Le résultat obsolète est fermé et ne ressuscite pas la session retirée.</x:v>
      </x:c>
      <x:c r="F83" s="13" t="str">
        <x:v>Réussi</x:v>
      </x:c>
      <x:c r="G83" s="11" t="str">
        <x:v>Test radio à promesse différée</x:v>
      </x:c>
      <x:c r="H83" s="11" t="str">
        <x:v>Test réussi : un flux retourné après destruction de la radio est stoppé et la session reste inactive. Cette protection existante passait déjà avant le correctif et reste conservée. Aucun périphérique physique utilisé.</x:v>
      </x:c>
    </x:row>
    <x:row r="84" ht="64" customHeight="1">
      <x:c r="A84" s="12" t="str">
        <x:v>QA79</x:v>
      </x:c>
      <x:c r="B84" s="12" t="str">
        <x:v>P0</x:v>
      </x:c>
      <x:c r="C84" s="12" t="str">
        <x:v>Réactivation concurrente</x:v>
      </x:c>
      <x:c r="D84" s="12" t="str">
        <x:v>Désactiver, relancer puis résoudre/refuser l’ancienne demande ou son activation d’écoute dans différents ordres.</x:v>
      </x:c>
      <x:c r="E84" s="12" t="str">
        <x:v>Flux récent, demande courante et écoute préservés ; ancien succès arrêté, ancien refus ou finaliseur sans effet sur l’état récent.</x:v>
      </x:c>
      <x:c r="F84" s="13" t="str">
        <x:v>Réussi</x:v>
      </x:c>
      <x:c r="G84" s="12" t="str">
        <x:v>Quatre tests radio de réactivation</x:v>
      </x:c>
      <x:c r="H84" s="12" t="str">
        <x:v>Quatre tests réussis : ancien accord, ancien refus, ancienne finalisation et ancien échec d’écoute ne remplacent ni ne coupent le flux / la demande / l’écoute récents. Nouvel état PTT préservé et demande courante non dupliquée. API simulées.</x:v>
      </x:c>
    </x:row>
    <x:row r="85" ht="77" customHeight="1">
      <x:c r="A85" s="11" t="str">
        <x:v>QA80</x:v>
      </x:c>
      <x:c r="B85" s="11" t="str">
        <x:v>P0</x:v>
      </x:c>
      <x:c r="C85" s="11" t="str">
        <x:v>Attente de l’interface</x:v>
      </x:c>
      <x:c r="D85" s="11" t="str">
        <x:v>Lancer une permission différée, éteindre, réactiver puis terminer l’ancienne opération.</x:v>
      </x:c>
      <x:c r="E85" s="11" t="str">
        <x:v>Nouvelle activation disponible ; les résultats anciens ne modifient pas l’état d’attente de l’opération récente.</x:v>
      </x:c>
      <x:c r="F85" s="13" t="str">
        <x:v>Réussi</x:v>
      </x:c>
      <x:c r="G85" s="11" t="str">
        <x:v>Tests du contrôleur UI</x:v>
      </x:c>
      <x:c r="H85" s="11" t="str">
        <x:v>4/4 tests de radio-actions : arrêt libère l’attente ; ancienne réponse ignorée, refus courant signalé ; changement de salon / démontage invalide les callbacks ; appel dans le geste utilisateur et échec synchrone nettoyé. Typecheck réussi. Aucun test DOM, micro physique ou GPU.</x:v>
      </x:c>
    </x:row>
    <x:row r="86" ht="77" customHeight="1">
      <x:c r="A86" s="12" t="str">
        <x:v>QA81</x:v>
      </x:c>
      <x:c r="B86" s="12" t="str">
        <x:v>P0</x:v>
      </x:c>
      <x:c r="C86" s="12" t="str">
        <x:v>Builds et édition portable</x:v>
      </x:c>
      <x:c r="D86" s="12" t="str">
        <x:v>Compiler les éditions locale et hébergée ; lancer le serveur portable compilé avec deux clients HTTP, sans node_modules.</x:v>
      </x:c>
      <x:c r="E86" s="12" t="str">
        <x:v>HTML servi ; modules serveur privés ; références et consensus justes ; départ des deux membres.</x:v>
      </x:c>
      <x:c r="F86" s="13" t="str">
        <x:v>Réussi</x:v>
      </x:c>
      <x:c r="G86" s="12" t="str">
        <x:v>Build / HTTP portable</x:v>
      </x:c>
      <x:c r="H86" s="12" t="str">
        <x:v>v0.2.1 : typecheck, build local, build hébergé et test portable réussis. Deux clients HTTP authentifiés : référence, inspection, perceptions privées, unanimité et sortie ; serveur compilé lancé sans node_modules. Les archives finales et GitHub CI restent à contrôler après assemblage / publication.</x:v>
      </x:c>
    </x:row>
  </x:sheetData>
  <x:conditionalFormatting sqref="F6:F86">
    <x:cfRule type="containsText" dxfId="36" priority="1" operator="containsText" text="Bloqué"/>
    <x:cfRule type="containsText" dxfId="37" priority="2" operator="containsText" text="Validé"/>
    <x:cfRule type="containsText" dxfId="38" priority="3" operator="containsText" text="Réussi"/>
  </x:conditionalFormatting>
  <x:dataValidations count="1">
    <x:dataValidation type="list" sqref="F6:F86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e62a490fb44b8a"/>
  </x:tableParts>
</x:worksheet>
</file>

<file path=xl/worksheets/sheet15.xml><?xml version="1.0" encoding="utf-8"?>
<x:worksheet xmlns:x="http://schemas.openxmlformats.org/spreadsheetml/2006/main">
  <x:sheetPr>
    <x:tabColor rgb="FFAAB1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1" hidden="0" customWidth="1"/>
    <x:col min="4" max="4" width="66" hidden="0" customWidth="1"/>
    <x:col min="5" max="5" width="64" hidden="0" customWidth="1"/>
    <x:col min="6" max="6" width="18" hidden="0" customWidth="1"/>
    <x:col min="7" max="7" width="70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Sources, définitions et mode d’emploi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Sources primaires, code du projet, propositions originales et sens précis des statuts.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Type</x:v>
      </x:c>
      <x:c r="C5" s="10" t="str">
        <x:v>Référence / terme</x:v>
      </x:c>
      <x:c r="D5" s="10" t="str">
        <x:v>Apport / définition</x:v>
      </x:c>
      <x:c r="E5" s="10" t="str">
        <x:v>Lien / origine</x:v>
      </x:c>
      <x:c r="F5" s="10" t="str">
        <x:v>Consultation</x:v>
      </x:c>
      <x:c r="G5" s="10" t="str">
        <x:v>Portée et limite</x:v>
      </x:c>
    </x:row>
    <x:row r="6" ht="40" customHeight="1">
      <x:c r="A6" s="12" t="str">
        <x:v>R01</x:v>
      </x:c>
      <x:c r="B6" s="12" t="str">
        <x:v>Inspiration de règle</x:v>
      </x:c>
      <x:c r="C6" s="12" t="str">
        <x:v>The Exit 8, page officielle PLAYISM</x:v>
      </x:c>
      <x:c r="D6" s="12" t="str">
        <x:v>Observation d’un passage répétitif et choix en fonction de la présence d’une anomalie.</x:v>
      </x:c>
      <x:c r="E6" s="21" t="str">
        <x:v>https://playism.com/en/game/the-exit-8/</x:v>
      </x:c>
      <x:c r="F6" s="20" t="d">
        <x:v>2026-10-26T12:00:00.000Z</x:v>
      </x:c>
      <x:c r="G6" s="12" t="str">
        <x:v>Référence consultée. Ne fournit ni assets ni contenu original de PARALLAXE.</x:v>
      </x:c>
    </x:row>
    <x:row r="7" ht="40" customHeight="1">
      <x:c r="A7" s="11" t="str">
        <x:v>R02</x:v>
      </x:c>
      <x:c r="B7" s="11" t="str">
        <x:v>Inspiration d’inspection</x:v>
      </x:c>
      <x:c r="C7" s="11" t="str">
        <x:v>The Cabin Factory, présentation du studio</x:v>
      </x:c>
      <x:c r="D7" s="11" t="str">
        <x:v>Inspection de cabines pour juger si elles sont hantées.</x:v>
      </x:c>
      <x:c r="E7" s="23" t="str">
        <x:v>https://www.internationalcatstudios.com/</x:v>
      </x:c>
      <x:c r="F7" s="22" t="d">
        <x:v>2026-10-26T12:00:00.000Z</x:v>
      </x:c>
      <x:c r="G7" s="11" t="str">
        <x:v>Interprétation probable de « cabin examinator » dans la demande. À corriger si une autre référence était visée.</x:v>
      </x:c>
    </x:row>
    <x:row r="8" ht="40" customHeight="1">
      <x:c r="A8" s="12" t="str">
        <x:v>R03</x:v>
      </x:c>
      <x:c r="B8" s="12" t="str">
        <x:v>Demande utilisateur</x:v>
      </x:c>
      <x:c r="C8" s="12" t="str">
        <x:v>Brief et extension du 26 octobre 2026</x:v>
      </x:c>
      <x:c r="D8" s="12" t="str">
        <x:v>Coop 3D, perceptions divergentes, talkies réels, corps/reflets, plusieurs lieux, Excel et sources GitHub.</x:v>
      </x:c>
      <x:c r="E8" s="12" t="str">
        <x:v>Brief de la conversation</x:v>
      </x:c>
      <x:c r="F8" s="20" t="d">
        <x:v>2026-10-26T12:00:00.000Z</x:v>
      </x:c>
      <x:c r="G8" s="12" t="str">
        <x:v>Les noms, anomalies, scènes et règles de PARALLAXE sont des créations originales proposées pour ce projet.</x:v>
      </x:c>
    </x:row>
    <x:row r="9" ht="40" customHeight="1">
      <x:c r="A9" s="11" t="str">
        <x:v>R04</x:v>
      </x:c>
      <x:c r="B9" s="11" t="str">
        <x:v>Source de vérité code</x:v>
      </x:c>
      <x:c r="C9" s="11" t="str">
        <x:v>Catalogue runtime 0.2.1</x:v>
      </x:c>
      <x:c r="D9" s="11" t="str">
        <x:v>54 identifiants intégrés ; titres, baseline, intensité, difficulté et lieux proviennent du code.</x:v>
      </x:c>
      <x:c r="E9" s="11" t="str">
        <x:v>src/game/catalog.ts</x:v>
      </x:c>
      <x:c r="F9" s="22" t="d">
        <x:v>2026-10-26T12:00:00.000Z</x:v>
      </x:c>
      <x:c r="G9" s="11" t="str">
        <x:v>Le classeur affiche explicitement la QA partielle ; présence dans le code ne vaut pas validation matérielle.</x:v>
      </x:c>
    </x:row>
    <x:row r="10" ht="40" customHeight="1">
      <x:c r="A10" s="12" t="str">
        <x:v>R05</x:v>
      </x:c>
      <x:c r="B10" s="12" t="str">
        <x:v>Règles actuelles</x:v>
      </x:c>
      <x:c r="C10" s="12" t="str">
        <x:v>Machine de jeu 0.2.1</x:v>
      </x:c>
      <x:c r="D10" s="12" t="str">
        <x:v>Campagne 3 × 3 avec paliers ; lieu unique 9 consécutifs ; 68 % d’anomalies ; 3 erreurs standard.</x:v>
      </x:c>
      <x:c r="E10" s="12" t="str">
        <x:v>src/game/rules.ts</x:v>
      </x:c>
      <x:c r="F10" s="20" t="d">
        <x:v>2026-10-26T12:00:00.000Z</x:v>
      </x:c>
      <x:c r="G10" s="12" t="str">
        <x:v>La référence de chaque lieu ne rapporte aucun point ; le mode détendu retire seulement la limite d’erreurs.</x:v>
      </x:c>
    </x:row>
    <x:row r="11" ht="40" customHeight="1">
      <x:c r="A11" s="11" t="str">
        <x:v>R06</x:v>
      </x:c>
      <x:c r="B11" s="11" t="str">
        <x:v>Conception étendue</x:v>
      </x:c>
      <x:c r="C11" s="11" t="str">
        <x:v>Catalogue de 120 fiches</x:v>
      </x:c>
      <x:c r="D11" s="11" t="str">
        <x:v>66 fiches restent conçues sans implémentation. IDs PX d’origine conservés ; nouvelles fiches ajoutées.</x:v>
      </x:c>
      <x:c r="E11" s="11" t="str">
        <x:v>docs/anomalies-design.json</x:v>
      </x:c>
      <x:c r="F11" s="22" t="d">
        <x:v>2026-10-26T12:00:00.000Z</x:v>
      </x:c>
      <x:c r="G11" s="11" t="str">
        <x:v>Une promotion de statut n’ajoute pas une fiche doublon pour la même anomalie.</x:v>
      </x:c>
    </x:row>
    <x:row r="12" ht="40" customHeight="1">
      <x:c r="A12" s="12" t="str">
        <x:v>R07</x:v>
      </x:c>
      <x:c r="B12" s="12" t="str">
        <x:v>Définition</x:v>
      </x:c>
      <x:c r="C12" s="12" t="str">
        <x:v>Perception personnelle</x:v>
      </x:c>
      <x:c r="D12" s="12" t="str">
        <x:v>Couche visuelle ou sonore reçue par un observateur, distincte de la position commune.</x:v>
      </x:c>
      <x:c r="E12" s="12" t="str">
        <x:v>Conception originale</x:v>
      </x:c>
      <x:c r="F12" s="20" t="d">
        <x:v>2026-10-26T12:00:00.000Z</x:v>
      </x:c>
      <x:c r="G12" s="12" t="str">
        <x:v>Un témoin peut voir une anomalie que les autres ne voient pas.</x:v>
      </x:c>
    </x:row>
    <x:row r="13" ht="40" customHeight="1">
      <x:c r="A13" s="11" t="str">
        <x:v>R08</x:v>
      </x:c>
      <x:c r="B13" s="11" t="str">
        <x:v>Définition</x:v>
      </x:c>
      <x:c r="C13" s="11" t="str">
        <x:v>Anomalie relationnelle</x:v>
      </x:c>
      <x:c r="D13" s="11" t="str">
        <x:v>Écart détectable seulement en comparant deux informations individuellement plausibles.</x:v>
      </x:c>
      <x:c r="E13" s="11" t="str">
        <x:v>Conception originale</x:v>
      </x:c>
      <x:c r="F13" s="22" t="d">
        <x:v>2026-10-26T12:00:00.000Z</x:v>
      </x:c>
      <x:c r="G13" s="11" t="str">
        <x:v>Le relais à codes divergents est la première réalisation de cette règle.</x:v>
      </x:c>
    </x:row>
    <x:row r="14" ht="40" customHeight="1">
      <x:c r="A14" s="12" t="str">
        <x:v>R09</x:v>
      </x:c>
      <x:c r="B14" s="12" t="str">
        <x:v>Définition</x:v>
      </x:c>
      <x:c r="C14" s="12" t="str">
        <x:v>Référence</x:v>
      </x:c>
      <x:c r="D14" s="12" t="str">
        <x:v>Version normale montrée en début de lieu ; invariants du décor, du corps, du relais et de la radio.</x:v>
      </x:c>
      <x:c r="E14" s="12" t="str">
        <x:v>Conception originale</x:v>
      </x:c>
      <x:c r="F14" s="20" t="d">
        <x:v>2026-10-26T12:00:00.000Z</x:v>
      </x:c>
      <x:c r="G14" s="12" t="str">
        <x:v>Le code de relais peut changer entre tours. Son égalité entre joueurs demeure la règle.</x:v>
      </x:c>
    </x:row>
    <x:row r="15" ht="40" customHeight="1">
      <x:c r="A15" s="11" t="str">
        <x:v>R10</x:v>
      </x:c>
      <x:c r="B15" s="11" t="str">
        <x:v>Statut</x:v>
      </x:c>
      <x:c r="C15" s="11" t="str">
        <x:v>Présent / Implémenté — QA partielle</x:v>
      </x:c>
      <x:c r="D15" s="11" t="str">
        <x:v>Le code ou le rendu existe. Des contrôles ciblés ont été faits, avec les limites indiquées.</x:v>
      </x:c>
      <x:c r="E15" s="11" t="str">
        <x:v>Vocabulaire de suivi</x:v>
      </x:c>
      <x:c r="F15" s="22" t="d">
        <x:v>2026-10-26T12:00:00.000Z</x:v>
      </x:c>
      <x:c r="G15" s="11" t="str">
        <x:v>Ne vaut pas validation exhaustive, performance certifiée ni jeu commercial terminé.</x:v>
      </x:c>
    </x:row>
    <x:row r="16" ht="40" customHeight="1">
      <x:c r="A16" s="12" t="str">
        <x:v>R11</x:v>
      </x:c>
      <x:c r="B16" s="12" t="str">
        <x:v>Statut</x:v>
      </x:c>
      <x:c r="C16" s="12" t="str">
        <x:v>Conçu — non implémenté</x:v>
      </x:c>
      <x:c r="D16" s="12" t="str">
        <x:v>Idée détaillée, critère de réception et assets identifiés, sans effet jouable correspondant.</x:v>
      </x:c>
      <x:c r="E16" s="12" t="str">
        <x:v>Vocabulaire de suivi</x:v>
      </x:c>
      <x:c r="F16" s="20" t="d">
        <x:v>2026-10-26T12:00:00.000Z</x:v>
      </x:c>
      <x:c r="G16" s="12" t="str">
        <x:v>À filtrer pour préparer les prochains lots de développement.</x:v>
      </x:c>
    </x:row>
    <x:row r="17" ht="40" customHeight="1">
      <x:c r="A17" s="11" t="str">
        <x:v>R12</x:v>
      </x:c>
      <x:c r="B17" s="11" t="str">
        <x:v>Statut</x:v>
      </x:c>
      <x:c r="C17" s="11" t="str">
        <x:v>À vérifier</x:v>
      </x:c>
      <x:c r="D17" s="11" t="str">
        <x:v>Vérification de l’intégration ou des conditions réelles encore manquante.</x:v>
      </x:c>
      <x:c r="E17" s="11" t="str">
        <x:v>Vocabulaire de suivi</x:v>
      </x:c>
      <x:c r="F17" s="22" t="d">
        <x:v>2026-10-26T12:00:00.000Z</x:v>
      </x:c>
      <x:c r="G17" s="11" t="str">
        <x:v>Ne pas convertir automatiquement ce statut en validé.</x:v>
      </x:c>
    </x:row>
    <x:row r="18" ht="40" customHeight="1">
      <x:c r="A18" s="12" t="str">
        <x:v>R13</x:v>
      </x:c>
      <x:c r="B18" s="12" t="str">
        <x:v>Échelle</x:v>
      </x:c>
      <x:c r="C18" s="12" t="str">
        <x:v>Peur 1 à 5</x:v>
      </x:c>
      <x:c r="D18" s="12" t="str">
        <x:v>1 : détail discret. 2 : étrangeté. 3 : malaise. 4 : présence inquiétante. 5 : confrontation visuelle forte.</x:v>
      </x:c>
      <x:c r="E18" s="12" t="str">
        <x:v>Échelle de conception</x:v>
      </x:c>
      <x:c r="F18" s="20" t="d">
        <x:v>2026-10-26T12:00:00.000Z</x:v>
      </x:c>
      <x:c r="G18" s="12" t="str">
        <x:v>Appréciation de design, pas classification officielle par âge.</x:v>
      </x:c>
    </x:row>
    <x:row r="19" ht="40" customHeight="1">
      <x:c r="A19" s="11" t="str">
        <x:v>R14</x:v>
      </x:c>
      <x:c r="B19" s="11" t="str">
        <x:v>Échelle</x:v>
      </x:c>
      <x:c r="C19" s="11" t="str">
        <x:v>Difficulté 1 à 3</x:v>
      </x:c>
      <x:c r="D19" s="11" t="str">
        <x:v>1 : changement évident. 2 : inspection attentive. 3 : comparaison ou observation composée.</x:v>
      </x:c>
      <x:c r="E19" s="11" t="str">
        <x:v>Échelle de conception</x:v>
      </x:c>
      <x:c r="F19" s="22" t="d">
        <x:v>2026-10-26T12:00:00.000Z</x:v>
      </x:c>
      <x:c r="G19" s="11" t="str">
        <x:v>À calibrer par playtests, pas une mesure scientifique.</x:v>
      </x:c>
    </x:row>
    <x:row r="20" ht="40" customHeight="1">
      <x:c r="A20" s="12" t="str">
        <x:v>R15</x:v>
      </x:c>
      <x:c r="B20" s="12" t="str">
        <x:v>Périmètre</x:v>
      </x:c>
      <x:c r="C20" s="12" t="str">
        <x:v>3D actuelle et haute définition future</x:v>
      </x:c>
      <x:c r="D20" s="12" t="str">
        <x:v>Three.js, géométrie procédurale, corps articulés et reflets planaires ; pipeline d’assets haute définition planifié.</x:v>
      </x:c>
      <x:c r="E20" s="12" t="str">
        <x:v>Choix de production</x:v>
      </x:c>
      <x:c r="F20" s="20" t="d">
        <x:v>2026-10-26T12:00:00.000Z</x:v>
      </x:c>
      <x:c r="G20" s="12" t="str">
        <x:v>Pas de promesse d’humains photoréalistes, de ray tracing ni d’exécutable Unreal Engine dans le build web livré.</x:v>
      </x:c>
    </x:row>
    <x:row r="21" ht="40" customHeight="1">
      <x:c r="A21" s="11" t="str">
        <x:v>R16</x:v>
      </x:c>
      <x:c r="B21" s="11" t="str">
        <x:v>Mise à jour</x:v>
      </x:c>
      <x:c r="C21" s="11" t="str">
        <x:v>Statuts et formules</x:v>
      </x:c>
      <x:c r="D21" s="11" t="str">
        <x:v>Filtrer Anomalies ; modifier Statut et Production pour actualiser la Synthèse. Les pools par lieu se calculent.</x:v>
      </x:c>
      <x:c r="E21" s="11" t="str">
        <x:v>Mode d’emploi du classeur</x:v>
      </x:c>
      <x:c r="F21" s="22" t="d">
        <x:v>2026-10-26T12:00:00.000Z</x:v>
      </x:c>
      <x:c r="G21" s="11" t="str">
        <x:v>La génération étend les plages à 120 fiches. Pour ajouter manuellement des lignes, étendre table et formules ou régénérer depuis JSON.</x:v>
      </x:c>
    </x:row>
    <x:row r="22" ht="40" customHeight="1">
      <x:c r="A22" s="12" t="str">
        <x:v>R17</x:v>
      </x:c>
      <x:c r="B22" s="12" t="str">
        <x:v>API primaire</x:v>
      </x:c>
      <x:c r="C22" s="12" t="str">
        <x:v>MDN — getUserMedia</x:v>
      </x:c>
      <x:c r="D22" s="12" t="str">
        <x:v>Le microphone exige permission utilisateur et contexte sécurisé ; HTTPS et localhost sont les cas pertinents ici.</x:v>
      </x:c>
      <x:c r="E22" s="21" t="str">
        <x:v>https://developer.mozilla.org/en-US/docs/Web/API/MediaDevices/getUserMedia</x:v>
      </x:c>
      <x:c r="F22" s="20" t="d">
        <x:v>2026-10-26T12:00:00.000Z</x:v>
      </x:c>
      <x:c r="G22" s="12" t="str">
        <x:v>Documentation de plateforme. Le comportement des navigateurs doit aussi être testé sur les appareils visés.</x:v>
      </x:c>
    </x:row>
    <x:row r="23" ht="40" customHeight="1">
      <x:c r="A23" s="11" t="str">
        <x:v>R18</x:v>
      </x:c>
      <x:c r="B23" s="11" t="str">
        <x:v>API primaire</x:v>
      </x:c>
      <x:c r="C23" s="11" t="str">
        <x:v>MDN — RTCPeerConnection</x:v>
      </x:c>
      <x:c r="D23" s="11" t="str">
        <x:v>L’interface établit, maintient et ferme une liaison WebRTC avec un autre pair.</x:v>
      </x:c>
      <x:c r="E23" s="23" t="str">
        <x:v>https://developer.mozilla.org/en-US/docs/Web/API/RTCPeerConnection</x:v>
      </x:c>
      <x:c r="F23" s="22" t="d">
        <x:v>2026-10-26T12:00:00.000Z</x:v>
      </x:c>
      <x:c r="G23" s="11" t="str">
        <x:v>Le projet ajoute sa signalisation, ses autorisations et son traitement audio autour de cette API.</x:v>
      </x:c>
    </x:row>
    <x:row r="24" ht="40" customHeight="1">
      <x:c r="A24" s="12" t="str">
        <x:v>R19</x:v>
      </x:c>
      <x:c r="B24" s="12" t="str">
        <x:v>Guide primaire</x:v>
      </x:c>
      <x:c r="C24" s="12" t="str">
        <x:v>WebRTC — TURN server</x:v>
      </x:c>
      <x:c r="D24" s="12" t="str">
        <x:v>Un relais TURN permet de relayer le trafic quand le chemin direct entre pairs n’est pas possible.</x:v>
      </x:c>
      <x:c r="E24" s="21" t="str">
        <x:v>https://webrtc.org/getting-started/turn-server</x:v>
      </x:c>
      <x:c r="F24" s="20" t="d">
        <x:v>2026-10-26T12:00:00.000Z</x:v>
      </x:c>
      <x:c r="G24" s="12" t="str">
        <x:v>Une URL configurable ne constitue pas un service déployé ; un essai Internet avec relais reste nécessaire.</x:v>
      </x:c>
    </x:row>
    <x:row r="25" ht="40" customHeight="1">
      <x:c r="A25" s="11" t="str">
        <x:v>R20</x:v>
      </x:c>
      <x:c r="B25" s="11" t="str">
        <x:v>Source radio</x:v>
      </x:c>
      <x:c r="C25" s="11" t="str">
        <x:v>Voix et étalonnage</x:v>
      </x:c>
      <x:c r="D25" s="11" t="str">
        <x:v>Code de la vraie voix, des transformations de réception et du relevé factuel.</x:v>
      </x:c>
      <x:c r="E25" s="11" t="str">
        <x:v>src/game/radio.ts</x:v>
      </x:c>
      <x:c r="F25" s="22" t="d">
        <x:v>2026-10-26T12:00:00.000Z</x:v>
      </x:c>
      <x:c r="G25" s="11" t="str">
        <x:v>Vérifier le chemin exact et les tests dans le dépôt de cette version. Pas d’enregistrement audio applicatif.</x:v>
      </x:c>
    </x:row>
    <x:row r="26" ht="40" customHeight="1">
      <x:c r="A26" s="12" t="str">
        <x:v>R21</x:v>
      </x:c>
      <x:c r="B26" s="12" t="str">
        <x:v>Source niveaux</x:v>
      </x:c>
      <x:c r="C26" s="12" t="str">
        <x:v>Baselines et noms officiels</x:v>
      </x:c>
      <x:c r="D26" s="12" t="str">
        <x:v>Saint-Clair / Terminus 09 / Aile blanche ; règles de référence spécifiques.</x:v>
      </x:c>
      <x:c r="E26" s="12" t="str">
        <x:v>src/game/levels.ts</x:v>
      </x:c>
      <x:c r="F26" s="20" t="d">
        <x:v>2026-10-26T12:00:00.000Z</x:v>
      </x:c>
      <x:c r="G26" s="12" t="str">
        <x:v>Le panneau métro et le moniteur clinique sont des références fixes de jeu.</x:v>
      </x:c>
    </x:row>
    <x:row r="27" ht="77" customHeight="1">
      <x:c r="A27" s="11" t="str">
        <x:v>R22</x:v>
      </x:c>
      <x:c r="B27" s="11" t="str">
        <x:v>Preuves techniques</x:v>
      </x:c>
      <x:c r="C27" s="11" t="str">
        <x:v>Bilan de vérification</x:v>
      </x:c>
      <x:c r="D27" s="11" t="str">
        <x:v>v0.2.1 : 19 tests radio et 4 du contrôleur UI réussis ; typecheck, builds local / hébergé et test portable à deux clients HTTP réussis. Preuves v0.2 conservées : 17 règles, 11 suites CPU 3D, D1 quatre clients et GLB relu. Aucun nouvel essai ICE ou de microphone physique.</x:v>
      </x:c>
      <x:c r="E27" s="11" t="str">
        <x:v>docs/QA.md</x:v>
      </x:c>
      <x:c r="F27" s="22" t="d">
        <x:v>2026-10-26T12:00:00.000Z</x:v>
      </x:c>
      <x:c r="G27" s="11" t="str">
        <x:v>Les essais déclarés se limitent à leur périmètre ; aucune validation GPU ou microphone physique sans preuve.</x:v>
      </x:c>
    </x:row>
    <x:row r="28" ht="40" customHeight="1">
      <x:c r="A28" s="12" t="str">
        <x:v>R23</x:v>
      </x:c>
      <x:c r="B28" s="12" t="str">
        <x:v>Source de fabrication</x:v>
      </x:c>
      <x:c r="C28" s="12" t="str">
        <x:v>Données du classeur</x:v>
      </x:c>
      <x:c r="D28" s="12" t="str">
        <x:v>Tables éditoriales, catalogue de conception, copie du runtime et état du build.</x:v>
      </x:c>
      <x:c r="E28" s="12" t="str">
        <x:v>docs/workbook-v02.json ; docs/runtime-catalog.json ; docs/build-status.json</x:v>
      </x:c>
      <x:c r="F28" s="20" t="d">
        <x:v>2026-10-26T12:00:00.000Z</x:v>
      </x:c>
      <x:c r="G28" s="12" t="str">
        <x:v>Le générateur scripts/build-design-workbook.mjs reconstruit le classeur et ses contrôles.</x:v>
      </x:c>
    </x:row>
    <x:row r="29" ht="40" customHeight="1">
      <x:c r="A29" s="11" t="str">
        <x:v>R24</x:v>
      </x:c>
      <x:c r="B29" s="11" t="str">
        <x:v>Statut</x:v>
      </x:c>
      <x:c r="C29" s="11" t="str">
        <x:v>À tester sur GPU / appareils</x:v>
      </x:c>
      <x:c r="D29" s="11" t="str">
        <x:v>Implémentation disponible mais shaders, images, performances ou matériel physique non vérifiés ici.</x:v>
      </x:c>
      <x:c r="E29" s="11" t="str">
        <x:v>Vocabulaire de suivi</x:v>
      </x:c>
      <x:c r="F29" s="22" t="d">
        <x:v>2026-10-26T12:00:00.000Z</x:v>
      </x:c>
      <x:c r="G29" s="11" t="str">
        <x:v>Un test CPU, une compilation ou un signal reçu ne remplace pas la preuve matérielle correspondante.</x:v>
      </x:c>
    </x:row>
    <x:row r="30" ht="40" customHeight="1">
      <x:c r="A30" s="12" t="str">
        <x:v>R25</x:v>
      </x:c>
      <x:c r="B30" s="12" t="str">
        <x:v>Conception</x:v>
      </x:c>
      <x:c r="C30" s="12" t="str">
        <x:v>Horreur équitable</x:v>
      </x:c>
      <x:c r="D30" s="12" t="str">
        <x:v>Une anomalie doit être persistante, localisable, comparable et soluble sans subir de danger réel.</x:v>
      </x:c>
      <x:c r="E30" s="12" t="str">
        <x:v>Choix de design original</x:v>
      </x:c>
      <x:c r="F30" s="20" t="d">
        <x:v>2026-10-26T12:00:00.000Z</x:v>
      </x:c>
      <x:c r="G30" s="12" t="str">
        <x:v>Pas de panne réseau indiscernable, aucun clonage vocal et aucune capture personnelle utilisés comme surprise.</x:v>
      </x:c>
    </x:row>
    <x:row r="31" ht="40" customHeight="1">
      <x:c r="A31" s="11" t="str">
        <x:v>R26</x:v>
      </x:c>
      <x:c r="B31" s="11" t="str">
        <x:v>Asset original</x:v>
      </x:c>
      <x:c r="C31" s="11" t="str">
        <x:v>Inspecteur GLB et manifeste</x:v>
      </x:c>
      <x:c r="D31" s="11" t="str">
        <x:v>52 444 triangles, 12 articulations rigides, trois animations ; relecture GLTFLoader réussie.</x:v>
      </x:c>
      <x:c r="E31" s="11" t="str">
        <x:v>public/models/inspecteur-parallaxe.glb ; public/models/inspecteur-parallaxe.manifest.json</x:v>
      </x:c>
      <x:c r="F31" s="22" t="d">
        <x:v>2026-10-26T12:00:00.000Z</x:v>
      </x:c>
      <x:c r="G31" s="11" t="str">
        <x:v>Modèle procédural original ; pas de skinning, pas de lettrage badge embarqué et pas de validation GPU.</x:v>
      </x:c>
    </x:row>
    <x:row r="32" ht="64" customHeight="1">
      <x:c r="A32" s="12" t="str">
        <x:v>R27</x:v>
      </x:c>
      <x:c r="B32" s="12" t="str">
        <x:v>Correctif vérifié</x:v>
      </x:c>
      <x:c r="C32" s="12" t="str">
        <x:v>Autorisation micro tardive · 0.2.1</x:v>
      </x:c>
      <x:c r="D32" s="12" t="str">
        <x:v>Invalider les demandes obsolètes, arrêter leurs flux retournés et préserver la réactivation la plus récente.</x:v>
      </x:c>
      <x:c r="E32" s="12" t="str">
        <x:v>docs/qa-radio-cancellation-v0.2.1.json ; tests/radio.test.mjs</x:v>
      </x:c>
      <x:c r="F32" s="20" t="d">
        <x:v>2026-10-26T12:00:00.000Z</x:v>
      </x:c>
      <x:c r="G32" s="12" t="str">
        <x:v>19/19 tests radio réussis, dont 7 nouveaux : extinction, micro seul, anciennes réponses, nouvelle demande et sortie. Avant correction : 6 échecs / 1 succès ; après : 7/7. Pistes et API simulées ; aucun microphone physique ni transmission mesurée.</x:v>
      </x:c>
    </x:row>
    <x:row r="33" ht="77" customHeight="1">
      <x:c r="A33" s="11" t="str">
        <x:v>R28</x:v>
      </x:c>
      <x:c r="B33" s="11" t="str">
        <x:v>Contrôleur vérifié</x:v>
      </x:c>
      <x:c r="C33" s="11" t="str">
        <x:v>État d’attente de la radio · 0.2.1</x:v>
      </x:c>
      <x:c r="D33" s="11" t="str">
        <x:v>Annuler l’opération UI retirée afin qu’une permission encore ouverte ne bloque pas la commande suivante.</x:v>
      </x:c>
      <x:c r="E33" s="11" t="str">
        <x:v>docs/qa-radio-ui-v0.2.1.json ; tests/radio-actions.test.mjs</x:v>
      </x:c>
      <x:c r="F33" s="22" t="d">
        <x:v>2026-10-26T12:00:00.000Z</x:v>
      </x:c>
      <x:c r="G33" s="11" t="str">
        <x:v>4/4 tests de radio-actions : arrêt libère l’attente ; ancienne réponse ignorée, refus courant signalé ; changement de salon / démontage invalide les callbacks ; appel dans le geste utilisateur et échec synchrone nettoyé. Typecheck réussi. Aucun test DOM, micro physique ou GPU.</x:v>
      </x:c>
    </x:row>
    <x:row r="34" ht="77" customHeight="1">
      <x:c r="A34" s="12" t="str">
        <x:v>R29</x:v>
      </x:c>
      <x:c r="B34" s="12" t="str">
        <x:v>Livraison vérifiée</x:v>
      </x:c>
      <x:c r="C34" s="12" t="str">
        <x:v>Compilation et serveur portable · 0.2.1</x:v>
      </x:c>
      <x:c r="D34" s="12" t="str">
        <x:v>Typecheck, builds local / hébergé et parcours HTTP portable à deux clients exécutés.</x:v>
      </x:c>
      <x:c r="E34" s="12" t="str">
        <x:v>docs/qa-final-v0.2.1.json ; .github/workflows/ci.yml</x:v>
      </x:c>
      <x:c r="F34" s="20" t="d">
        <x:v>2026-10-26T12:00:00.000Z</x:v>
      </x:c>
      <x:c r="G34" s="12" t="str">
        <x:v>v0.2.1 : typecheck, build local, build hébergé et test portable réussis. Deux clients HTTP authentifiés : référence, inspection, perceptions privées, unanimité et sortie ; serveur compilé lancé sans node_modules. Les archives finales et GitHub CI restent à contrôler après assemblage /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4f1c5233b67e42d4"/>
  </x:tableParts>
</x:worksheet>
</file>